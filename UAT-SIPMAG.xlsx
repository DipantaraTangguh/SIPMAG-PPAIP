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akbarnamatangguh/Documents/Dokumen Skripsi/SIPMAG-UBakrie-Project/"/>
    </mc:Choice>
  </mc:AlternateContent>
  <xr:revisionPtr revIDLastSave="0" documentId="13_ncr:1_{71C68A53-9AA1-C546-9450-35FEB6D932D6}" xr6:coauthVersionLast="47" xr6:coauthVersionMax="47" xr10:uidLastSave="{00000000-0000-0000-0000-000000000000}"/>
  <bookViews>
    <workbookView xWindow="0" yWindow="620" windowWidth="33600" windowHeight="20380" tabRatio="500" xr2:uid="{00000000-000D-0000-FFFF-FFFF00000000}"/>
  </bookViews>
  <sheets>
    <sheet name="Autentikasi" sheetId="2" r:id="rId1"/>
    <sheet name="Mahasiswa" sheetId="3" r:id="rId2"/>
    <sheet name="Kaprodi" sheetId="4" r:id="rId3"/>
    <sheet name="PPAIP" sheetId="5" r:id="rId4"/>
    <sheet name="DPM" sheetId="6" r:id="rId5"/>
    <sheet name="Dosen Penguji" sheetId="7" r:id="rId6"/>
    <sheet name="Rekap Hasil" sheetId="8" r:id="rId7"/>
  </sheets>
  <definedNames>
    <definedName name="_xlnm._FilterDatabase" localSheetId="0" hidden="1">Autentikasi!$A$1:$K$9</definedName>
    <definedName name="_xlnm._FilterDatabase" localSheetId="5" hidden="1">'Dosen Penguji'!$A$1:$K$6</definedName>
    <definedName name="_xlnm._FilterDatabase" localSheetId="4" hidden="1">DPM!$A$1:$K$10</definedName>
    <definedName name="_xlnm._FilterDatabase" localSheetId="2" hidden="1">Kaprodi!$A$1:$K$13</definedName>
    <definedName name="_xlnm._FilterDatabase" localSheetId="1" hidden="1">Mahasiswa!$A$1:$K$45</definedName>
    <definedName name="_xlnm._FilterDatabase" localSheetId="3" hidden="1">PPAIP!$A$1:$K$15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" i="8" l="1"/>
  <c r="D10" i="8"/>
  <c r="G10" i="8" s="1"/>
  <c r="C10" i="8"/>
  <c r="F10" i="8" s="1"/>
  <c r="E9" i="8"/>
  <c r="D9" i="8"/>
  <c r="G9" i="8" s="1"/>
  <c r="C9" i="8"/>
  <c r="G8" i="8"/>
  <c r="E8" i="8"/>
  <c r="F8" i="8" s="1"/>
  <c r="D8" i="8"/>
  <c r="C8" i="8"/>
  <c r="E7" i="8"/>
  <c r="D7" i="8"/>
  <c r="G7" i="8" s="1"/>
  <c r="C7" i="8"/>
  <c r="F7" i="8" s="1"/>
  <c r="G6" i="8"/>
  <c r="E6" i="8"/>
  <c r="D6" i="8"/>
  <c r="C6" i="8"/>
  <c r="F6" i="8" s="1"/>
  <c r="E5" i="8"/>
  <c r="E11" i="8" s="1"/>
  <c r="D5" i="8"/>
  <c r="F5" i="8" s="1"/>
  <c r="C5" i="8"/>
  <c r="C11" i="8" s="1"/>
  <c r="G5" i="8" l="1"/>
  <c r="F9" i="8"/>
  <c r="F11" i="8" s="1"/>
  <c r="D11" i="8"/>
  <c r="G11" i="8" s="1"/>
</calcChain>
</file>

<file path=xl/sharedStrings.xml><?xml version="1.0" encoding="utf-8"?>
<sst xmlns="http://schemas.openxmlformats.org/spreadsheetml/2006/main" count="913" uniqueCount="631">
  <si>
    <t>Scenario ID</t>
  </si>
  <si>
    <t>Scenario</t>
  </si>
  <si>
    <t>Scenario Description</t>
  </si>
  <si>
    <t>Prerequisite</t>
  </si>
  <si>
    <t>Test Case ID</t>
  </si>
  <si>
    <t>Test Case</t>
  </si>
  <si>
    <t>Step</t>
  </si>
  <si>
    <t>Expected Result</t>
  </si>
  <si>
    <t>Actual Result</t>
  </si>
  <si>
    <t>Mahasiswa</t>
  </si>
  <si>
    <t>Kaprodi</t>
  </si>
  <si>
    <t>PPAIP</t>
  </si>
  <si>
    <t>Dosen Penguji</t>
  </si>
  <si>
    <t>Scenario Type
(Negative/Positive)</t>
  </si>
  <si>
    <t>Function?
(Checklist)</t>
  </si>
  <si>
    <t>AUTH-01</t>
  </si>
  <si>
    <t>Login Mahasiswa</t>
  </si>
  <si>
    <t>Mahasiswa masuk ke portal magang menggunakan NIM atau email terdaftar.</t>
  </si>
  <si>
    <t>Positive</t>
  </si>
  <si>
    <t>Akun mahasiswa sudah dibuat admin dan tidak terkunci.</t>
  </si>
  <si>
    <t>AUTH-01-TC01</t>
  </si>
  <si>
    <t>Login dengan NIM dan password benar</t>
  </si>
  <si>
    <t>1. Buka halaman /login
2. Isi kolom NIM dengan NIM terdaftar
3. Isi kolom Kata Sandi dengan password benar
4. Klik tombol "Masuk Ke Portal"</t>
  </si>
  <si>
    <t>Login berhasil, pengguna diarahkan ke halaman Beranda (/dashboard) dan nama mahasiswa tampil pada banner selamat datang.</t>
  </si>
  <si>
    <t>AUTH-01-TC02</t>
  </si>
  <si>
    <t>Login menggunakan alamat email</t>
  </si>
  <si>
    <t>1. Buka halaman /login
2. Isi kolom NIM dengan alamat email mahasiswa
3. Isi password yang benar
4. Klik "Masuk Ke Portal"</t>
  </si>
  <si>
    <t>Login berhasil dan diarahkan ke Beranda, sama seperti login dengan NIM.</t>
  </si>
  <si>
    <t>AUTH-02</t>
  </si>
  <si>
    <t>Login Salah Kredensial</t>
  </si>
  <si>
    <t>Sistem menolak login dengan kredensial yang tidak valid tanpa membocorkan akun mana yang salah.</t>
  </si>
  <si>
    <t>Negative</t>
  </si>
  <si>
    <t>Akun mahasiswa terdaftar.</t>
  </si>
  <si>
    <t>AUTH-02-TC01</t>
  </si>
  <si>
    <t>Login dengan password salah</t>
  </si>
  <si>
    <t>1. Buka halaman /login
2. Isi NIM yang benar
3. Isi password yang salah
4. Klik "Masuk Ke Portal"</t>
  </si>
  <si>
    <t>Login ditolak dengan pesan "Kredensial yang diberikan tidak valid." dan pengguna tetap di halaman login.</t>
  </si>
  <si>
    <t>-</t>
  </si>
  <si>
    <t>AUTH-02-TC02</t>
  </si>
  <si>
    <t>Login dengan NIM tidak terdaftar</t>
  </si>
  <si>
    <t>1. Buka halaman /login
2. Isi NIM yang tidak terdaftar
3. Isi password bebas
4. Klik "Masuk Ke Portal"</t>
  </si>
  <si>
    <t>Pesan error sama persis dengan password salah (tidak menyebut akun tidak ditemukan) dan waktu respons serupa.</t>
  </si>
  <si>
    <t>AUTH-03</t>
  </si>
  <si>
    <t>Pengamanan Brute Force</t>
  </si>
  <si>
    <t>Akun terkunci sementara setelah beberapa kali percobaan login gagal beruntun.</t>
  </si>
  <si>
    <t>AUTH-03-TC01</t>
  </si>
  <si>
    <t>Login gagal 5 kali berturut-turut</t>
  </si>
  <si>
    <t>1. Buka halaman /login
2. Login dengan password salah sebanyak 5 kali berturut-turut
3. Coba login lagi dengan password yang BENAR</t>
  </si>
  <si>
    <t>Percobaan ke-6 ditolak dengan pesan "Terlalu banyak percobaan login. Silakan coba lagi nanti." walaupun password benar; akun terbuka kembali setelah masa kunci habis.</t>
  </si>
  <si>
    <t>AUTH-04</t>
  </si>
  <si>
    <t>Pembatasan Akses Panel Admin</t>
  </si>
  <si>
    <t>Panel admin (/admin) hanya boleh diakses Kaprodi, DPM, PPAIP, dan Dosen Penguji.</t>
  </si>
  <si>
    <t>Mahasiswa sudah login.</t>
  </si>
  <si>
    <t>AUTH-04-TC01</t>
  </si>
  <si>
    <t>Mahasiswa membuka halaman /admin</t>
  </si>
  <si>
    <t>1. Login sebagai mahasiswa
2. Ketik URL /admin pada address bar
3. Tekan Enter</t>
  </si>
  <si>
    <t>Akses ditolak; mahasiswa tidak dapat masuk ke panel admin.</t>
  </si>
  <si>
    <t>AUTH-05</t>
  </si>
  <si>
    <t>Proteksi Halaman Tanpa Login</t>
  </si>
  <si>
    <t>Halaman internal tidak dapat diakses tanpa sesi login yang sah.</t>
  </si>
  <si>
    <t>Pengguna belum login / sudah logout.</t>
  </si>
  <si>
    <t>AUTH-05-TC01</t>
  </si>
  <si>
    <t>Membuka halaman Beranda tanpa login</t>
  </si>
  <si>
    <t>1. Pastikan sudah logout
2. Ketik URL /dashboard pada address bar
3. Tekan Enter</t>
  </si>
  <si>
    <t>Pengguna otomatis diarahkan ke halaman /login.</t>
  </si>
  <si>
    <t>AUTH-06</t>
  </si>
  <si>
    <t>Logout</t>
  </si>
  <si>
    <t>Pengguna mengakhiri sesi dengan aman.</t>
  </si>
  <si>
    <t>Pengguna sudah login.</t>
  </si>
  <si>
    <t>AUTH-06-TC01</t>
  </si>
  <si>
    <t>Keluar dari akun</t>
  </si>
  <si>
    <t>1. Login sebagai mahasiswa
2. Klik tombol "Keluar" pada sidebar
3. Coba tekan tombol Back browser</t>
  </si>
  <si>
    <t>Sesi berakhir, pengguna diarahkan ke halaman login, dan halaman sebelumnya tidak dapat diakses kembali tanpa login ulang.</t>
  </si>
  <si>
    <t>MHS-01</t>
  </si>
  <si>
    <t>Pengajuan Form 1 - Magang Wajib</t>
  </si>
  <si>
    <t>Mahasiswa mengajukan Surat Keterangan Memenuhi Syarat Akademik untuk magang wajib.</t>
  </si>
  <si>
    <t>Login sebagai mahasiswa berstatus Unverified; data akademik (semester, SKS, IPK) sudah terisi admin.</t>
  </si>
  <si>
    <t>MHS-01-TC01</t>
  </si>
  <si>
    <t>Mengisi dan mengirim Form 1 jenis Magang Wajib</t>
  </si>
  <si>
    <t>1. Buka menu Profil (/form1)
2. Pilih Jenis Magang: "Magang Wajib"
3. Pilih Rencana Skema Magang
4. Isi Topik / Lingkup Magang
5. Pilih Target Output
6. Centang pernyataan kebenaran data
7. Klik "Kirim Pengajuan"</t>
  </si>
  <si>
    <t>Form 1 tersimpan, status berubah menjadi "Menunggu Review" (PendingReview), dan halaman status menampilkan data yang diajukan termasuk Jenis Magang.</t>
  </si>
  <si>
    <t>Login sebagai mahasiswa berstatus Unverified.</t>
  </si>
  <si>
    <t>MHS-01-TC02</t>
  </si>
  <si>
    <t>Mengirim Form 1 tanpa memilih Jenis Magang</t>
  </si>
  <si>
    <t>1. Buka menu Profil (/form1)
2. Kosongkan pilihan Jenis Magang
3. Isi seluruh kolom lainnya dengan benar
4. Coba klik "Kirim Pengajuan"</t>
  </si>
  <si>
    <t>Tombol kirim tidak aktif / muncul pesan "Pilih jenis magang terlebih dahulu" dan data tidak terkirim.</t>
  </si>
  <si>
    <t>Sistem menolak pengajuan bila data akademik mahasiswa belum lengkap.</t>
  </si>
  <si>
    <t>Mahasiswa dengan data semester / jumlah SKS / IPK masih kosong.</t>
  </si>
  <si>
    <t>MHS-01-TC03</t>
  </si>
  <si>
    <t>Mengirim Form 1 saat data akademik belum lengkap</t>
  </si>
  <si>
    <t>1. Login sebagai mahasiswa yang data akademiknya kosong
2. Buka menu Profil (/form1)
3. Lengkapi seluruh isian yang tersedia
4. Klik "Kirim Pengajuan"</t>
  </si>
  <si>
    <t>Pengajuan ditolak dengan pesan "Data akademik mahasiswa belum lengkap. Hubungi admin akademik sebelum mengajukan Form 1."</t>
  </si>
  <si>
    <t>Magang wajib hanya boleh diambil satu kali seumur masa studi.</t>
  </si>
  <si>
    <t>Mahasiswa sudah pernah menyelesaikan satu siklus magang wajib dan telah mereset siklus.</t>
  </si>
  <si>
    <t>MHS-01-TC04</t>
  </si>
  <si>
    <t>Memilih Magang Wajib untuk kedua kalinya</t>
  </si>
  <si>
    <t>1. Login sebagai mahasiswa yang riwayatnya sudah memuat magang wajib
2. Buka menu Profil (/form1)
3. Perhatikan pilihan Jenis Magang
4. Coba pilih "Magang Wajib"</t>
  </si>
  <si>
    <t>Opsi "Magang Wajib" tampil redup dengan ikon gembok, tidak dapat dipilih, disertai keterangan bahwa mahasiswa sudah pernah menyelesaikan magang wajib.</t>
  </si>
  <si>
    <t>MHS-02</t>
  </si>
  <si>
    <t>Pengajuan Form 1 - Magang Non-Wajib</t>
  </si>
  <si>
    <t>Mahasiswa mengajukan Form 1 untuk magang non-wajib (tanpa batas jumlah).</t>
  </si>
  <si>
    <t>Login sebagai mahasiswa berstatus Unverified; data akademik lengkap.</t>
  </si>
  <si>
    <t>MHS-02-TC01</t>
  </si>
  <si>
    <t>Mengisi dan mengirim Form 1 jenis Magang Non-Wajib</t>
  </si>
  <si>
    <t>1. Buka menu Profil (/form1)
2. Pilih Jenis Magang: "Magang Non-Wajib"
3. Lengkapi skema, topik, dan target output
4. Centang pernyataan
5. Klik "Kirim Pengajuan"</t>
  </si>
  <si>
    <t>Form 1 tersimpan dengan jenis Non-Wajib, status menjadi "Menunggu Review", dan Jenis Magang tampil pada rincian data pengajuan.</t>
  </si>
  <si>
    <t>MHS-03</t>
  </si>
  <si>
    <t>Status dan Surat Keterangan Form 1</t>
  </si>
  <si>
    <t>Mahasiswa memantau status Form 1 dan mengunduh surat keterangan setelah disetujui.</t>
  </si>
  <si>
    <t>Form 1 sudah diajukan dan disetujui Kaprodi.</t>
  </si>
  <si>
    <t>MHS-03-TC01</t>
  </si>
  <si>
    <t>Mengunduh Surat Keterangan Memenuhi Syarat Akademik</t>
  </si>
  <si>
    <t>1. Login sebagai mahasiswa berstatus ApprovedForm1
2. Buka menu Profil (/form1/status)
3. Klik tombol unduh surat keterangan</t>
  </si>
  <si>
    <t>File PDF terunduh, isinya sesuai template resmi, memuat data mahasiswa, nama &amp; NIDN Kaprodi, serta tanda centang hijau digital (bukan tanda tangan basah).</t>
  </si>
  <si>
    <t>Surat keterangan hanya tersedia setelah Form 1 disetujui.</t>
  </si>
  <si>
    <t>Form 1 berstatus PendingReview.</t>
  </si>
  <si>
    <t>MHS-03-TC02</t>
  </si>
  <si>
    <t>Mengunduh surat sebelum Form 1 disetujui</t>
  </si>
  <si>
    <t>1. Login sebagai mahasiswa berstatus PendingReview
2. Buka halaman status Form 1
3. Perhatikan ketersediaan tombol unduh</t>
  </si>
  <si>
    <t>Tombol unduh tidak tersedia; jika endpoint diakses langsung, sistem menolak dengan pesan Form 1 belum disetujui.</t>
  </si>
  <si>
    <t>Mahasiswa dapat memperbaiki dan mengajukan ulang Form 1 yang ditolak.</t>
  </si>
  <si>
    <t>Form 1 sudah ditolak Kaprodi disertai alasan.</t>
  </si>
  <si>
    <t>MHS-03-TC03</t>
  </si>
  <si>
    <t>Mengajukan ulang Form 1 setelah ditolak</t>
  </si>
  <si>
    <t>1. Login sebagai mahasiswa berstatus RejectedForm1
2. Buka halaman status Form 1 dan baca alasan penolakan
3. Klik aksi untuk mengisi ulang Form 1
4. Perbaiki data lalu kirim ulang</t>
  </si>
  <si>
    <t>Alasan penolakan tampil jelas; setelah dikirim ulang status kembali menjadi "Menunggu Review".</t>
  </si>
  <si>
    <t>MHS-04</t>
  </si>
  <si>
    <t>Portal Lowongan Mitra</t>
  </si>
  <si>
    <t>Mahasiswa menelusuri dan melamar lowongan magang yang disediakan PPAIP.</t>
  </si>
  <si>
    <t>Form 1 sudah disetujui (ApprovedForm1); tersedia lowongan aktif.</t>
  </si>
  <si>
    <t>MHS-04-TC01</t>
  </si>
  <si>
    <t>Melihat daftar dan detail lowongan</t>
  </si>
  <si>
    <t>1. Buka menu Lowongan Magang (/portal)
2. Perhatikan daftar lowongan aktif
3. Klik salah satu lowongan untuk melihat detail</t>
  </si>
  <si>
    <t>Daftar lowongan aktif tampil beserta posisi, lokasi, dan tenggat; halaman detail menampilkan deskripsi, kualifikasi, dan tombol lamar.</t>
  </si>
  <si>
    <t>Mahasiswa melamar lowongan dengan mengunggah CV.</t>
  </si>
  <si>
    <t>Form 1 disetujui; file CV format PDF tersedia.</t>
  </si>
  <si>
    <t>MHS-04-TC02</t>
  </si>
  <si>
    <t>Melamar lowongan dengan mengunggah CV</t>
  </si>
  <si>
    <t>1. Buka detail salah satu lowongan
2. Klik tombol lamar
3. Unggah berkas CV (PDF)
4. Kirim lamaran</t>
  </si>
  <si>
    <t>Lamaran tersimpan dengan status "Applied", status mahasiswa berubah menjadi HasApplication, dan lamaran tampil pada daftar lamaran aktif.</t>
  </si>
  <si>
    <t>Sistem mencegah lamaran ganda pada lowongan yang sama.</t>
  </si>
  <si>
    <t>Mahasiswa sudah melamar lowongan tersebut.</t>
  </si>
  <si>
    <t>MHS-04-TC03</t>
  </si>
  <si>
    <t>Melamar lowongan yang sama dua kali</t>
  </si>
  <si>
    <t>1. Buka detail lowongan yang sudah pernah dilamar
2. Coba kirim lamaran kembali</t>
  </si>
  <si>
    <t>Sistem menolak dengan pesan "Anda sudah melamar lowongan ini." dan tidak membuat data lamaran baru.</t>
  </si>
  <si>
    <t>Portal terkunci sebelum Form 1 disetujui.</t>
  </si>
  <si>
    <t>Mahasiswa berstatus Unverified atau PendingReview.</t>
  </si>
  <si>
    <t>MHS-04-TC04</t>
  </si>
  <si>
    <t>Mengakses portal sebelum Form 1 disetujui</t>
  </si>
  <si>
    <t>1. Login sebagai mahasiswa berstatus PendingReview
2. Buka menu Lowongan Magang</t>
  </si>
  <si>
    <t>Portal tidak dapat diakses / menampilkan status terkunci dengan keterangan Form 1 harus disetujui terlebih dahulu.</t>
  </si>
  <si>
    <t>Validasi berkas CV yang diunggah.</t>
  </si>
  <si>
    <t>Form 1 disetujui.</t>
  </si>
  <si>
    <t>MHS-04-TC05</t>
  </si>
  <si>
    <t>Mengunggah CV dengan format tidak didukung</t>
  </si>
  <si>
    <t>1. Buka detail lowongan
2. Klik lamar
3. Unggah berkas dengan format tidak didukung (mis. .exe atau .zip)
4. Kirim lamaran</t>
  </si>
  <si>
    <t>Berkas ditolak dengan pesan validasi format; lamaran tidak tersimpan.</t>
  </si>
  <si>
    <t>MHS-05</t>
  </si>
  <si>
    <t>Pengajuan Form 2 (Surat Pengantar Mandiri)</t>
  </si>
  <si>
    <t>Mahasiswa jalur mandiri mengajukan surat pengantar magang ke perusahaan pilihannya.</t>
  </si>
  <si>
    <t>Form 1 sudah disetujui.</t>
  </si>
  <si>
    <t>MHS-05-TC01</t>
  </si>
  <si>
    <t>Mengirim Form 2 dengan data lengkap</t>
  </si>
  <si>
    <t>1. Buka menu Lowongan Magang &gt; tab Jalur Mandiri
2. Klik ajukan Form 2
3. Isi nama perusahaan, pimpinan, jabatan, alamat, lingkup magang
4. Isi periode mulai dan selesai magang
5. Klik kirim</t>
  </si>
  <si>
    <t>Form 2 tersimpan dengan status "Menunggu Review" (PendingReview) dan tampil pada daftar pengajuan mahasiswa.</t>
  </si>
  <si>
    <t>Validasi periode magang pada Form 2.</t>
  </si>
  <si>
    <t>MHS-05-TC02</t>
  </si>
  <si>
    <t>Mengisi tanggal selesai lebih awal dari tanggal mulai</t>
  </si>
  <si>
    <t>1. Buka formulir Form 2
2. Isi tanggal mulai (mis. Desember 2026)
3. Isi tanggal selesai lebih awal (mis. Agustus 2026)
4. Klik kirim</t>
  </si>
  <si>
    <t>Sistem menolak dengan pesan validasi bahwa tanggal selesai harus setelah atau sama dengan tanggal mulai.</t>
  </si>
  <si>
    <t>Form 2 hanya dapat diajukan setelah Form 1 disetujui.</t>
  </si>
  <si>
    <t>Mahasiswa berstatus PendingReview.</t>
  </si>
  <si>
    <t>MHS-05-TC03</t>
  </si>
  <si>
    <t>Mengajukan Form 2 sebelum Form 1 disetujui</t>
  </si>
  <si>
    <t>1. Login sebagai mahasiswa berstatus PendingReview
2. Coba akses halaman pengajuan Form 2</t>
  </si>
  <si>
    <t>Akses ditolak / dialihkan, dengan keterangan Form 1 harus disetujui terlebih dahulu.</t>
  </si>
  <si>
    <t>Mahasiswa mengunduh surat pengantar setelah Form 2 disetujui PPAIP.</t>
  </si>
  <si>
    <t>Form 2 sudah disetujui PPAIP (ApprovedForm2).</t>
  </si>
  <si>
    <t>MHS-05-TC04</t>
  </si>
  <si>
    <t>Mengunduh surat pengantar magang</t>
  </si>
  <si>
    <t>1. Buka daftar pengajuan Form 2
2. Pilih pengajuan berstatus Disetujui
3. Klik unduh surat pengantar</t>
  </si>
  <si>
    <t>File PDF surat pengantar terunduh sesuai template resmi, memuat nomor surat, data perusahaan, dan data mahasiswa dengan benar.</t>
  </si>
  <si>
    <t>Form 2 terkunci setelah mahasiswa memperoleh tempat magang.</t>
  </si>
  <si>
    <t>Mahasiswa berstatus HasDPM atau MenungguKonfirmasi.</t>
  </si>
  <si>
    <t>MHS-05-TC05</t>
  </si>
  <si>
    <t>Mengajukan Form 2 saat tempat magang sudah aman</t>
  </si>
  <si>
    <t>1. Login sebagai mahasiswa berstatus HasDPM / MenungguKonfirmasi
2. Coba ajukan Form 2 baru</t>
  </si>
  <si>
    <t>Sistem menolak pengajuan dan menampilkan pesan bahwa Form 2 tidak dapat diajukan lagi.</t>
  </si>
  <si>
    <t>MHS-06</t>
  </si>
  <si>
    <t>Konfirmasi Hasil Magang Non-Wajib</t>
  </si>
  <si>
    <t>Mahasiswa non-wajib melaporkan hasil penerimaan magang beserta bukti LoA.</t>
  </si>
  <si>
    <t>Mahasiswa non-wajib berstatus MenungguKonfirmasi (Form 2 disetujui atau lamaran mitra diterima); berkas LoA tersedia.</t>
  </si>
  <si>
    <t>MHS-06-TC01</t>
  </si>
  <si>
    <t>Konfirmasi diterima dengan mengunggah LoA</t>
  </si>
  <si>
    <t>1. Buka menu Profil (/form1/status)
2. Pada panel Konfirmasi Hasil Magang isi nama perusahaan penerima
3. Isi alamat (opsional) serta periode mulai dan selesai
4. Unggah berkas LoA (PDF/gambar)
5. Klik "Saya Diterima - Kirim Konfirmasi"</t>
  </si>
  <si>
    <t>Konfirmasi tersimpan, status menjadi "Selesai Non-Wajib", siklus tercatat pada Riwayat Magang memakai data konfirmasi (bukan data Form 2), dan tombol Reset Siklus muncul.</t>
  </si>
  <si>
    <t>Bukti LoA wajib diunggah pada konfirmasi penerimaan.</t>
  </si>
  <si>
    <t>Mahasiswa non-wajib berstatus MenungguKonfirmasi.</t>
  </si>
  <si>
    <t>MHS-06-TC02</t>
  </si>
  <si>
    <t>Konfirmasi diterima tanpa mengunggah LoA</t>
  </si>
  <si>
    <t>1. Buka panel Konfirmasi Hasil Magang
2. Isi seluruh kolom kecuali berkas LoA
3. Coba klik tombol kirim konfirmasi</t>
  </si>
  <si>
    <t>Tombol kirim tidak aktif / muncul pesan bahwa berkas LoA wajib diunggah, dan konfirmasi tidak tersimpan.</t>
  </si>
  <si>
    <t>Validasi ukuran dan format berkas LoA.</t>
  </si>
  <si>
    <t>MHS-06-TC03</t>
  </si>
  <si>
    <t>Mengunggah LoA melebihi 5 MB atau format tidak didukung</t>
  </si>
  <si>
    <t>1. Buka panel Konfirmasi Hasil Magang
2. Unggah berkas berukuran lebih dari 5 MB atau berformat tidak didukung
3. Kirim konfirmasi</t>
  </si>
  <si>
    <t>Berkas ditolak dengan pesan validasi ukuran/format; konfirmasi tidak tersimpan.</t>
  </si>
  <si>
    <t>Mahasiswa yang tidak diterima perusahaan dapat mengulang pengajuan.</t>
  </si>
  <si>
    <t>MHS-06-TC04</t>
  </si>
  <si>
    <t>Melaporkan belum/tidak diterima perusahaan</t>
  </si>
  <si>
    <t>1. Buka panel Konfirmasi Hasil Magang
2. Klik "Saya belum/tidak diterima di perusahaan ini"
3. Konfirmasi pada dialog yang muncul</t>
  </si>
  <si>
    <t>Status mahasiswa kembali menjadi ApprovedForm1, tidak ada catatan riwayat yang dibuat, dan mahasiswa dapat mengajukan Form 2 ke perusahaan lain.</t>
  </si>
  <si>
    <t>Alur ulang setelah ditolak perusahaan berjalan normal.</t>
  </si>
  <si>
    <t>Mahasiswa baru saja melaporkan tidak diterima (status ApprovedForm1).</t>
  </si>
  <si>
    <t>MHS-06-TC05</t>
  </si>
  <si>
    <t>Mengajukan Form 2 baru ke perusahaan lain</t>
  </si>
  <si>
    <t>1. Buka menu pengajuan Form 2
2. Isi data perusahaan yang berbeda
3. Kirim pengajuan</t>
  </si>
  <si>
    <t>Form 2 baru tersimpan dengan status Menunggu Review dan dapat diproses PPAIP seperti biasa.</t>
  </si>
  <si>
    <t>MHS-07</t>
  </si>
  <si>
    <t>Pengajuan Dosen Pembimbing (DPM)</t>
  </si>
  <si>
    <t>Mahasiswa magang wajib mengajukan dosen pembimbing beserta bukti LoA perusahaan.</t>
  </si>
  <si>
    <t>Mahasiswa magang WAJIB berstatus HasApplication.</t>
  </si>
  <si>
    <t>MHS-07-TC01</t>
  </si>
  <si>
    <t>Mengirim pengajuan DPM dengan LoA</t>
  </si>
  <si>
    <t>1. Buka menu Bimbingan &amp; Logbook (/guidance)
2. Isi data perusahaan dan praktisi pembimbing
3. Isi nomor telepon, email, dan periode magang
4. Unggah berkas LoA
5. Klik kirim pengajuan</t>
  </si>
  <si>
    <t>Pengajuan tersimpan dan menunggu penunjukan DPM oleh Kaprodi.</t>
  </si>
  <si>
    <t>Pengajuan DPM hanya boleh satu kali per siklus.</t>
  </si>
  <si>
    <t>Mahasiswa sudah pernah mengirim pengajuan DPM.</t>
  </si>
  <si>
    <t>MHS-07-TC02</t>
  </si>
  <si>
    <t>Mengirim pengajuan DPM untuk kedua kalinya</t>
  </si>
  <si>
    <t>1. Buka menu Bimbingan &amp; Logbook
2. Coba kirim pengajuan DPM kembali</t>
  </si>
  <si>
    <t>Sistem menolak dengan pesan bahwa pengajuan sudah pernah diajukan.</t>
  </si>
  <si>
    <t>Mahasiswa magang non-wajib tidak melalui tahap DPM.</t>
  </si>
  <si>
    <t>Mahasiswa magang NON-WAJIB (jenis magang non_wajib).</t>
  </si>
  <si>
    <t>MHS-07-TC03</t>
  </si>
  <si>
    <t>Mahasiswa non-wajib mengakses pengajuan DPM</t>
  </si>
  <si>
    <t>1. Login sebagai mahasiswa non-wajib
2. Buka menu Bimbingan &amp; Logbook</t>
  </si>
  <si>
    <t>Halaman menampilkan informasi "Tidak Ada Tahap Bimbingan untuk Magang Non-Wajib" dan formulir pengajuan DPM tidak tersedia; permintaan langsung ke sistem juga ditolak.</t>
  </si>
  <si>
    <t>MHS-08</t>
  </si>
  <si>
    <t>Pengisian Logbook Magang</t>
  </si>
  <si>
    <t>Mahasiswa mengisi logbook kegiatan magang untuk direview DPM.</t>
  </si>
  <si>
    <t>Mahasiswa berstatus HasDPM (DPM sudah ditunjuk).</t>
  </si>
  <si>
    <t>MHS-08-TC01</t>
  </si>
  <si>
    <t>Menambah entri logbook baru</t>
  </si>
  <si>
    <t>1. Buka menu Bimbingan &amp; Logbook &gt; tab Logbook
2. Klik tambah logbook
3. Isi tanggal, kegiatan harian, dan hasil
4. Simpan</t>
  </si>
  <si>
    <t>Entri logbook tersimpan dengan status "Menunggu Review" dan tampil pada daftar logbook.</t>
  </si>
  <si>
    <t>Sistem mencegah duplikasi logbook pada tanggal yang sama.</t>
  </si>
  <si>
    <t>Sudah ada logbook pada tanggal tersebut.</t>
  </si>
  <si>
    <t>MHS-08-TC02</t>
  </si>
  <si>
    <t>Menambah logbook dengan tanggal yang sudah terisi</t>
  </si>
  <si>
    <t>1. Buka tab Logbook
2. Tambah logbook dengan tanggal yang sudah pernah diisi
3. Simpan</t>
  </si>
  <si>
    <t>Sistem menolak dengan pesan bahwa logbook untuk tanggal tersebut sudah ada.</t>
  </si>
  <si>
    <t>Mahasiswa memperbaiki logbook yang ditolak DPM.</t>
  </si>
  <si>
    <t>Terdapat logbook berstatus Ditolak beserta catatan DPM.</t>
  </si>
  <si>
    <t>MHS-08-TC03</t>
  </si>
  <si>
    <t>Memperbarui logbook yang ditolak</t>
  </si>
  <si>
    <t>1. Buka tab Logbook
2. Baca catatan penolakan dari DPM
3. Klik ubah pada logbook tersebut
4. Perbaiki isian lalu simpan</t>
  </si>
  <si>
    <t>Logbook diperbarui dan statusnya kembali menjadi "Menunggu Review".</t>
  </si>
  <si>
    <t>Menu logbook terkunci sebelum DPM ditunjuk.</t>
  </si>
  <si>
    <t>Mahasiswa berstatus ApprovedForm1 / HasApplication.</t>
  </si>
  <si>
    <t>MHS-08-TC04</t>
  </si>
  <si>
    <t>Mengakses logbook sebelum DPM ditunjuk</t>
  </si>
  <si>
    <t>1. Login sebagai mahasiswa yang belum punya DPM
2. Buka menu Bimbingan &amp; Logbook &gt; tab Logbook</t>
  </si>
  <si>
    <t>Tab logbook terkunci dengan keterangan tahap sebelumnya harus diselesaikan terlebih dahulu.</t>
  </si>
  <si>
    <t>Enam logbook disetujui membuka tahap sidang.</t>
  </si>
  <si>
    <t>Sudah ada 5 logbook disetujui DPM.</t>
  </si>
  <si>
    <t>MHS-08-TC05</t>
  </si>
  <si>
    <t>Melihat perubahan status setelah 6 logbook disetujui</t>
  </si>
  <si>
    <t>1. Pastikan DPM menyetujui logbook ke-6
2. Muat ulang halaman Beranda mahasiswa
3. Perhatikan kartu Progress Logbook dan menu Sidang Magang</t>
  </si>
  <si>
    <t>Progress Logbook menunjukkan 6 laporan selesai, status mahasiswa menjadi LogbookComplete, dan menu Sidang Magang terbuka.</t>
  </si>
  <si>
    <t>MHS-09</t>
  </si>
  <si>
    <t>Pengajuan Sidang Magang</t>
  </si>
  <si>
    <t>Mahasiswa mengunggah dokumen sidang untuk dijadwalkan Kaprodi.</t>
  </si>
  <si>
    <t>Mahasiswa berstatus LogbookComplete; dokumen laporan, poster, dan foto kegiatan tersedia.</t>
  </si>
  <si>
    <t>MHS-09-TC01</t>
  </si>
  <si>
    <t>Mengunggah dokumen sidang lengkap</t>
  </si>
  <si>
    <t>1. Buka menu Sidang Magang (/defense)
2. Unggah laporan akhir dan poster
3. Unggah foto kegiatan 1 dan 2
4. Klik kirim pengajuan sidang</t>
  </si>
  <si>
    <t>Dokumen tersimpan, status mahasiswa berubah menjadi MenungguSidang, dan halaman menampilkan keterangan menunggu penjadwalan.</t>
  </si>
  <si>
    <t>Sidang hanya dapat diajukan setelah logbook lengkap.</t>
  </si>
  <si>
    <t>Mahasiswa berstatus HasDPM dengan logbook disetujui kurang dari 6.</t>
  </si>
  <si>
    <t>MHS-09-TC02</t>
  </si>
  <si>
    <t>Mengajukan sidang sebelum logbook lengkap</t>
  </si>
  <si>
    <t>1. Login sebagai mahasiswa dengan logbook belum lengkap
2. Buka menu Sidang Magang</t>
  </si>
  <si>
    <t>Halaman sidang terkunci dengan keterangan logbook harus diselesaikan terlebih dahulu.</t>
  </si>
  <si>
    <t>Mahasiswa melihat jadwal sidang yang telah ditetapkan.</t>
  </si>
  <si>
    <t>Kaprodi sudah menjadwalkan sidang.</t>
  </si>
  <si>
    <t>MHS-09-TC03</t>
  </si>
  <si>
    <t>Melihat jadwal sidang</t>
  </si>
  <si>
    <t>1. Login sebagai mahasiswa berstatus MenungguSidang
2. Buka menu Sidang Magang
3. Perhatikan informasi jadwal</t>
  </si>
  <si>
    <t>Tanggal, waktu, ruangan, serta nama Penguji 1 dan Penguji 2 tampil dengan benar; notifikasi jadwal juga muncul pada Beranda.</t>
  </si>
  <si>
    <t>Mahasiswa non-wajib tidak melalui tahap sidang.</t>
  </si>
  <si>
    <t>Mahasiswa magang NON-WAJIB.</t>
  </si>
  <si>
    <t>MHS-09-TC04</t>
  </si>
  <si>
    <t>Mahasiswa non-wajib membuka menu Sidang Magang</t>
  </si>
  <si>
    <t>1. Login sebagai mahasiswa non-wajib
2. Perhatikan tampilan menu Sidang Magang pada sidebar
3. Klik menu tersebut</t>
  </si>
  <si>
    <t>Menu tampil redup dengan ikon gembok; halaman menampilkan keterangan bahwa magang non-wajib tidak melalui tahap sidang.</t>
  </si>
  <si>
    <t>MHS-10</t>
  </si>
  <si>
    <t>Riwayat dan Reset Siklus Magang</t>
  </si>
  <si>
    <t>Mahasiswa melihat riwayat magang yang telah diselesaikan.</t>
  </si>
  <si>
    <t>Mahasiswa memiliki minimal satu siklus magang selesai.</t>
  </si>
  <si>
    <t>MHS-10-TC01</t>
  </si>
  <si>
    <t>Melihat daftar dan detail riwayat magang</t>
  </si>
  <si>
    <t>1. Buka menu Riwayat Magang (/history)
2. Perhatikan daftar siklus pada panel kiri
3. Klik salah satu riwayat</t>
  </si>
  <si>
    <t>Daftar riwayat tampil (nomor siklus, jenis magang, perusahaan, periode, nilai bila ada); panel detail menampilkan Data Pengajuan, Tempat &amp; Periode Magang, serta Hasil.</t>
  </si>
  <si>
    <t>Mahasiswa mereset siklus secara mandiri setelah magang wajib selesai.</t>
  </si>
  <si>
    <t>Mahasiswa berstatus SiklusSelesai.</t>
  </si>
  <si>
    <t>MHS-10-TC02</t>
  </si>
  <si>
    <t>Reset siklus setelah magang wajib selesai</t>
  </si>
  <si>
    <t>1. Buka menu Profil (/form1/status)
2. Klik "Reset Siklus &amp; Daftar Magang Lagi"
3. Konfirmasi pada dialog yang muncul</t>
  </si>
  <si>
    <t>Status kembali menjadi Unverified, halaman pengisian Form 1 terbuka kembali, dan data siklus lama tidak lagi tampil pada dashboard.</t>
  </si>
  <si>
    <t>Mahasiswa mereset siklus setelah magang non-wajib selesai.</t>
  </si>
  <si>
    <t>Mahasiswa berstatus SelesaiNonWajib.</t>
  </si>
  <si>
    <t>MHS-10-TC03</t>
  </si>
  <si>
    <t>Reset siklus setelah magang non-wajib selesai</t>
  </si>
  <si>
    <t>1. Buka menu Profil (/form1/status)
2. Klik "Reset Siklus &amp; Daftar Magang Lagi"
3. Konfirmasi</t>
  </si>
  <si>
    <t>Status kembali menjadi Unverified dan mahasiswa dapat mengisi Form 1 untuk siklus berikutnya.</t>
  </si>
  <si>
    <t>Reset hanya boleh dilakukan setelah siklus tuntas.</t>
  </si>
  <si>
    <t>Mahasiswa berstatus HasDPM / MenungguSidang (siklus berjalan).</t>
  </si>
  <si>
    <t>MHS-10-TC04</t>
  </si>
  <si>
    <t>Mencoba reset saat siklus masih berjalan</t>
  </si>
  <si>
    <t>1. Login sebagai mahasiswa yang siklusnya masih berjalan
2. Buka halaman status Form 1
3. Perhatikan ketersediaan tombol reset</t>
  </si>
  <si>
    <t>Tombol reset tidak tersedia; bila permintaan reset dikirim langsung ke sistem, permintaan ditolak.</t>
  </si>
  <si>
    <t>Riwayat magang bersifat permanen meski siklus direset.</t>
  </si>
  <si>
    <t>Mahasiswa baru saja mereset siklus.</t>
  </si>
  <si>
    <t>MHS-10-TC05</t>
  </si>
  <si>
    <t>Memastikan riwayat tetap tersimpan setelah reset</t>
  </si>
  <si>
    <t>1. Setelah reset siklus, buka menu Riwayat Magang
2. Periksa daftar riwayat</t>
  </si>
  <si>
    <t>Seluruh siklus yang telah selesai tetap tampil lengkap dengan data perusahaan, periode, dan nilai (untuk magang wajib).</t>
  </si>
  <si>
    <t>Mahasiswa dapat mendaftar magang berikutnya setelah reset.</t>
  </si>
  <si>
    <t>Mahasiswa sudah mereset siklus dan pernah menyelesaikan magang wajib.</t>
  </si>
  <si>
    <t>MHS-10-TC06</t>
  </si>
  <si>
    <t>Mendaftar magang non-wajib setelah reset</t>
  </si>
  <si>
    <t>1. Buka menu Profil (/form1)
2. Perhatikan pilihan Jenis Magang
3. Pilih "Magang Non-Wajib" dan lengkapi formulir
4. Kirim pengajuan</t>
  </si>
  <si>
    <t>Opsi Magang Wajib terkunci, opsi Non-Wajib dapat dipilih, dan pengajuan siklus baru tersimpan dengan status Menunggu Review.</t>
  </si>
  <si>
    <t>MHS-11</t>
  </si>
  <si>
    <t>Tampilan Alur Sesuai Jenis Magang</t>
  </si>
  <si>
    <t>Tahapan pada dashboard menyesuaikan jenis magang yang dipilih mahasiswa.</t>
  </si>
  <si>
    <t>Mahasiswa magang NON-WAJIB sudah mengisi Form 1.</t>
  </si>
  <si>
    <t>MHS-11-TC01</t>
  </si>
  <si>
    <t>Memeriksa stepper jalur non-wajib</t>
  </si>
  <si>
    <t>1. Login sebagai mahasiswa non-wajib
2. Buka menu Beranda
3. Perhatikan diagram tahapan (stepper)</t>
  </si>
  <si>
    <t>Stepper menampilkan 3 tahap: Syarat Akademik &gt; Pengantar / Lamaran &gt; Konfirmasi Magang, dengan tahap berjalan tersorot.</t>
  </si>
  <si>
    <t>Tahapan jalur magang wajib tetap lengkap seperti sebelumnya.</t>
  </si>
  <si>
    <t>Mahasiswa magang WAJIB sudah mengisi Form 1.</t>
  </si>
  <si>
    <t>MHS-11-TC02</t>
  </si>
  <si>
    <t>Memeriksa stepper jalur wajib</t>
  </si>
  <si>
    <t>1. Login sebagai mahasiswa magang wajib
2. Buka menu Beranda
3. Perhatikan diagram tahapan</t>
  </si>
  <si>
    <t>Stepper menampilkan 5 tahap: Syarat Akademik &gt; Lamaran &gt; Pengajuan Pembimbing &gt; Logbook &gt; Sidang.</t>
  </si>
  <si>
    <t>Menu yang tidak berlaku bagi magang non-wajib ditandai jelas.</t>
  </si>
  <si>
    <t>MHS-11-TC03</t>
  </si>
  <si>
    <t>Memeriksa penandaan menu pada sidebar</t>
  </si>
  <si>
    <t>1. Login sebagai mahasiswa non-wajib
2. Perhatikan menu Bimbingan &amp; Logbook serta Sidang Magang pada sidebar
3. Arahkan kursor ke menu tersebut</t>
  </si>
  <si>
    <t>Kedua menu tampil redup dengan ikon gembok dan menampilkan keterangan "tidak berlaku untuk magang non-wajib".</t>
  </si>
  <si>
    <t>KPR-01</t>
  </si>
  <si>
    <t>Review Form 1 Mahasiswa</t>
  </si>
  <si>
    <t>Kaprodi memverifikasi kelayakan akademik mahasiswa pada Form 1.</t>
  </si>
  <si>
    <t>Login sebagai Kaprodi; terdapat mahasiswa se-prodi berstatus PendingReview.</t>
  </si>
  <si>
    <t>KPR-01-TC01</t>
  </si>
  <si>
    <t>Menyetujui Form 1 mahasiswa</t>
  </si>
  <si>
    <t>1. Login ke panel admin (/admin) sebagai Kaprodi
2. Buka menu data mahasiswa
3. Pilih mahasiswa berstatus Menunggu Review
4. Periksa data akademik dan jenis magang
5. Klik aksi Setujui Form 1</t>
  </si>
  <si>
    <t>Status mahasiswa berubah menjadi ApprovedForm1, nama dan NIDN Kaprodi tercatat sebagai penyetuju beserta tanggal persetujuan.</t>
  </si>
  <si>
    <t>Kaprodi menolak Form 1 disertai alasan yang dapat dibaca mahasiswa.</t>
  </si>
  <si>
    <t>Terdapat mahasiswa berstatus PendingReview.</t>
  </si>
  <si>
    <t>KPR-01-TC02</t>
  </si>
  <si>
    <t>Menolak Form 1 dengan alasan</t>
  </si>
  <si>
    <t>1. Buka data mahasiswa berstatus Menunggu Review
2. Klik aksi Tolak Form 1
3. Isi alasan penolakan
4. Simpan</t>
  </si>
  <si>
    <t>Status mahasiswa menjadi RejectedForm1 dan alasan penolakan tampil pada halaman status mahasiswa.</t>
  </si>
  <si>
    <t>Alasan penolakan bersifat wajib.</t>
  </si>
  <si>
    <t>KPR-01-TC03</t>
  </si>
  <si>
    <t>Menolak Form 1 tanpa mengisi alasan</t>
  </si>
  <si>
    <t>1. Buka data mahasiswa berstatus Menunggu Review
2. Klik aksi Tolak Form 1
3. Kosongkan kolom alasan
4. Klik simpan</t>
  </si>
  <si>
    <t>Sistem menolak aksi dan menampilkan pesan bahwa alasan penolakan wajib diisi.</t>
  </si>
  <si>
    <t>Kaprodi mengetahui jenis magang yang diajukan sebelum memutuskan.</t>
  </si>
  <si>
    <t>Terdapat pengajuan Form 1 magang wajib dan non-wajib.</t>
  </si>
  <si>
    <t>KPR-01-TC04</t>
  </si>
  <si>
    <t>Memeriksa informasi jenis magang pada data Form 1</t>
  </si>
  <si>
    <t>1. Buka detail Form 1 salah satu mahasiswa
2. Perhatikan informasi jenis magang, skema, topik, dan target output</t>
  </si>
  <si>
    <t>Jenis magang (Wajib / Non-Wajib) beserta data Form 1 lainnya tampil jelas pada halaman review.</t>
  </si>
  <si>
    <t>Kaprodi hanya berwenang atas mahasiswa program studinya sendiri.</t>
  </si>
  <si>
    <t>Terdapat mahasiswa dari program studi lain.</t>
  </si>
  <si>
    <t>KPR-01-TC05</t>
  </si>
  <si>
    <t>Mengakses mahasiswa program studi lain</t>
  </si>
  <si>
    <t>1. Login sebagai Kaprodi program studi A
2. Buka daftar mahasiswa
3. Cari mahasiswa dari program studi B</t>
  </si>
  <si>
    <t>Mahasiswa program studi lain tidak muncul pada daftar dan tidak dapat direview oleh Kaprodi tersebut.</t>
  </si>
  <si>
    <t>KPR-02</t>
  </si>
  <si>
    <t>Penunjukan Dosen Pembimbing</t>
  </si>
  <si>
    <t>Kaprodi menunjuk DPM berdasarkan pengajuan mahasiswa.</t>
  </si>
  <si>
    <t>Mahasiswa magang wajib sudah mengirim pengajuan DPM (status HasApplication).</t>
  </si>
  <si>
    <t>KPR-02-TC01</t>
  </si>
  <si>
    <t>Menunjuk DPM untuk mahasiswa</t>
  </si>
  <si>
    <t>1. Buka daftar pengajuan pembimbing
2. Pilih mahasiswa yang mengajukan
3. Periksa data perusahaan dan LoA
4. Pilih dosen pembimbing
5. Simpan penunjukan</t>
  </si>
  <si>
    <t>Status mahasiswa berubah menjadi HasDPM, nama DPM tampil pada dashboard mahasiswa, dan menu logbook terbuka.</t>
  </si>
  <si>
    <t>Kaprodi memverifikasi bukti LoA sebelum menunjuk DPM.</t>
  </si>
  <si>
    <t>Terdapat pengajuan DPM yang menyertakan LoA.</t>
  </si>
  <si>
    <t>KPR-02-TC02</t>
  </si>
  <si>
    <t>Mengunduh berkas LoA mahasiswa</t>
  </si>
  <si>
    <t>1. Buka detail pengajuan pembimbing
2. Klik pratinjau atau unduh LoA</t>
  </si>
  <si>
    <t>Berkas LoA dapat dibuka/diunduh dengan benar dan sesuai berkas yang diunggah mahasiswa.</t>
  </si>
  <si>
    <t>KPR-03</t>
  </si>
  <si>
    <t>Penjadwalan Sidang Magang</t>
  </si>
  <si>
    <t>Kaprodi menjadwalkan sidang dan menetapkan dua dosen penguji.</t>
  </si>
  <si>
    <t>Mahasiswa berstatus MenungguSidang dan dokumen sidang lengkap.</t>
  </si>
  <si>
    <t>KPR-03-TC01</t>
  </si>
  <si>
    <t>Menjadwalkan sidang dengan dua penguji</t>
  </si>
  <si>
    <t>1. Buka menu penjadwalan sidang
2. Pilih mahasiswa berstatus Menunggu Sidang
3. Isi tanggal, waktu, dan ruangan
4. Pilih Dosen Penguji 1 dan Dosen Penguji 2
5. Simpan jadwal</t>
  </si>
  <si>
    <t>Jadwal tersimpan, status pengajuan sidang menjadi Scheduled, dan jadwal tampil pada halaman mahasiswa serta dashboard penguji.</t>
  </si>
  <si>
    <t>Data penjadwalan sidang wajib lengkap.</t>
  </si>
  <si>
    <t>Mahasiswa berstatus MenungguSidang.</t>
  </si>
  <si>
    <t>KPR-03-TC02</t>
  </si>
  <si>
    <t>Menyimpan jadwal tanpa memilih penguji</t>
  </si>
  <si>
    <t>1. Buka form penjadwalan sidang
2. Isi tanggal dan ruangan saja
3. Kosongkan pilihan penguji
4. Klik simpan</t>
  </si>
  <si>
    <t>Sistem menolak penyimpanan dan menampilkan pesan bahwa dosen penguji wajib dipilih.</t>
  </si>
  <si>
    <t>KPR-04</t>
  </si>
  <si>
    <t>Penyelesaian Siklus Magang</t>
  </si>
  <si>
    <t>Siklus magang wajib ditutup setelah seluruh penilaian sidang lengkap.</t>
  </si>
  <si>
    <t>Sidang berstatus Scheduled dan ketiga penilaian (DPM, Penguji 1, Penguji 2) sudah terisi.</t>
  </si>
  <si>
    <t>KPR-04-TC01</t>
  </si>
  <si>
    <t>Menyelesaikan siklus magang mahasiswa</t>
  </si>
  <si>
    <t>1. Buka daftar mahasiswa berstatus Menunggu Sidang
2. Pastikan progres penilaian menunjukkan 3/3
3. Klik aksi Selesaikan Siklus
4. Konfirmasi</t>
  </si>
  <si>
    <t>Status mahasiswa menjadi SiklusSelesai, nilai akhir dan grade huruf tersimpan pada riwayat magang, serta data DPM dikosongkan.</t>
  </si>
  <si>
    <t>Siklus tidak dapat ditutup sebelum penilaian lengkap.</t>
  </si>
  <si>
    <t>Baru 2 dari 3 penilaian sidang yang terisi.</t>
  </si>
  <si>
    <t>KPR-04-TC02</t>
  </si>
  <si>
    <t>Menyelesaikan siklus sebelum penilaian lengkap</t>
  </si>
  <si>
    <t>1. Buka data mahasiswa dengan penilaian 2/3
2. Coba jalankan aksi Selesaikan Siklus</t>
  </si>
  <si>
    <t>Sistem menolak dengan pesan bahwa penilaian DPM, Penguji 1, dan Penguji 2 harus lengkap terlebih dahulu.</t>
  </si>
  <si>
    <t>KPR-05</t>
  </si>
  <si>
    <t>Pemantauan Data Mahasiswa</t>
  </si>
  <si>
    <t>Kaprodi memantau perkembangan mahasiswa bimbingan program studinya.</t>
  </si>
  <si>
    <t>Login sebagai Kaprodi.</t>
  </si>
  <si>
    <t>KPR-05-TC01</t>
  </si>
  <si>
    <t>Melihat daftar dan progres mahasiswa se-prodi</t>
  </si>
  <si>
    <t>1. Buka menu data mahasiswa pada panel admin
2. Perhatikan kolom status, DPM, dan jumlah logbook disetujui</t>
  </si>
  <si>
    <t>Daftar mahasiswa program studi terkait tampil lengkap dengan status siklus, DPM, dan progres logbook yang akurat.</t>
  </si>
  <si>
    <t>PPA-01</t>
  </si>
  <si>
    <t>Review Form 2 (Surat Pengantar)</t>
  </si>
  <si>
    <t>PPAIP menyetujui Form 2 mahasiswa magang wajib.</t>
  </si>
  <si>
    <t>Login sebagai PPAIP; ada Form 2 magang WAJIB berstatus PendingReview.</t>
  </si>
  <si>
    <t>PPA-01-TC01</t>
  </si>
  <si>
    <t>Menyetujui Form 2 mahasiswa magang wajib</t>
  </si>
  <si>
    <t>1. Login ke panel admin sebagai PPAIP
2. Buka menu Form 2
3. Pilih pengajuan berstatus Menunggu Review
4. Klik aksi Setujui
5. Baca dialog konfirmasi lalu konfirmasi</t>
  </si>
  <si>
    <t>Dialog menyebut mahasiswa akan lanjut ke tahap pengajuan DPM; setelah disetujui status Form 2 menjadi ApprovedForm2 dan status mahasiswa menjadi HasApplication.</t>
  </si>
  <si>
    <t>PPAIP menyetujui Form 2 mahasiswa magang non-wajib.</t>
  </si>
  <si>
    <t>Ada Form 2 magang NON-WAJIB berstatus PendingReview.</t>
  </si>
  <si>
    <t>PPA-01-TC02</t>
  </si>
  <si>
    <t>Menyetujui Form 2 mahasiswa magang non-wajib</t>
  </si>
  <si>
    <t>1. Buka menu Form 2 pada panel admin
2. Pilih pengajuan mahasiswa non-wajib
3. Klik aksi Setujui
4. Baca dialog konfirmasi lalu konfirmasi</t>
  </si>
  <si>
    <t>Dialog menyebut mahasiswa akan diminta konfirmasi penerimaan (unggah LoA) dan tidak melalui tahap DPM/sidang; status mahasiswa berubah menjadi MenungguKonfirmasi.</t>
  </si>
  <si>
    <t>PPAIP menolak Form 2 disertai alasan.</t>
  </si>
  <si>
    <t>Ada Form 2 berstatus PendingReview.</t>
  </si>
  <si>
    <t>PPA-01-TC03</t>
  </si>
  <si>
    <t>Menolak Form 2 dengan alasan</t>
  </si>
  <si>
    <t>1. Buka menu Form 2
2. Pilih pengajuan berstatus Menunggu Review
3. Klik aksi Tolak
4. Isi alasan penolakan lalu simpan</t>
  </si>
  <si>
    <t>Status Form 2 menjadi RejectedForm2, alasan tampil pada halaman mahasiswa, dan status siklus mahasiswa tidak berubah.</t>
  </si>
  <si>
    <t>Alasan penolakan Form 2 bersifat wajib.</t>
  </si>
  <si>
    <t>PPA-01-TC04</t>
  </si>
  <si>
    <t>Menolak Form 2 tanpa alasan</t>
  </si>
  <si>
    <t>1. Buka pengajuan Form 2
2. Klik aksi Tolak
3. Kosongkan alasan lalu simpan</t>
  </si>
  <si>
    <t>PPA-02</t>
  </si>
  <si>
    <t>Pengelolaan Lowongan Mitra</t>
  </si>
  <si>
    <t>PPAIP mengelola lowongan magang yang tampil di portal mahasiswa.</t>
  </si>
  <si>
    <t>Login sebagai PPAIP.</t>
  </si>
  <si>
    <t>PPA-02-TC01</t>
  </si>
  <si>
    <t>Menambah lowongan magang baru</t>
  </si>
  <si>
    <t>1. Buka menu Lowongan pada panel admin
2. Klik tambah lowongan
3. Isi nama perusahaan, posisi, deskripsi, lokasi, dan tenggat
4. Simpan</t>
  </si>
  <si>
    <t>Lowongan tersimpan, berstatus aktif, dan langsung tampil pada portal mahasiswa.</t>
  </si>
  <si>
    <t>PPAIP memperbarui data lowongan yang sudah ada.</t>
  </si>
  <si>
    <t>Terdapat lowongan aktif.</t>
  </si>
  <si>
    <t>PPA-02-TC02</t>
  </si>
  <si>
    <t>Mengubah data lowongan</t>
  </si>
  <si>
    <t>1. Buka daftar lowongan
2. Pilih salah satu lowongan lalu klik ubah
3. Perbarui data (mis. kapasitas atau tenggat)
4. Simpan</t>
  </si>
  <si>
    <t>Perubahan tersimpan dan tampil sesuai pada portal mahasiswa.</t>
  </si>
  <si>
    <t>Lowongan dapat dinonaktifkan agar tidak tampil di portal.</t>
  </si>
  <si>
    <t>PPA-02-TC03</t>
  </si>
  <si>
    <t>Menonaktifkan atau menghapus lowongan</t>
  </si>
  <si>
    <t>1. Buka daftar lowongan
2. Nonaktifkan atau hapus salah satu lowongan
3. Buka portal mahasiswa</t>
  </si>
  <si>
    <t>Lowongan tidak lagi tampil pada portal mahasiswa dan tidak dapat dilamar.</t>
  </si>
  <si>
    <t>Validasi kelengkapan data lowongan.</t>
  </si>
  <si>
    <t>PPA-02-TC04</t>
  </si>
  <si>
    <t>Menyimpan lowongan tanpa data wajib</t>
  </si>
  <si>
    <t>1. Klik tambah lowongan
2. Kosongkan nama perusahaan / posisi / tenggat
3. Klik simpan</t>
  </si>
  <si>
    <t>Sistem menolak penyimpanan dan menandai kolom wajib yang belum diisi.</t>
  </si>
  <si>
    <t>PPA-03</t>
  </si>
  <si>
    <t>Pengelolaan Pelamar Mitra</t>
  </si>
  <si>
    <t>PPAIP memantau dan mengelola pelamar lowongan mitra.</t>
  </si>
  <si>
    <t>Terdapat mahasiswa yang sudah melamar lowongan.</t>
  </si>
  <si>
    <t>PPA-03-TC01</t>
  </si>
  <si>
    <t>Melihat daftar pelamar lowongan</t>
  </si>
  <si>
    <t>1. Buka menu Pelamar Mitra pada panel admin
2. Perhatikan daftar pelamar
3. Gunakan filter status atau program studi</t>
  </si>
  <si>
    <t>Daftar pelamar tampil lengkap (NIM, nama, prodi, perusahaan, posisi, status lamaran) dan filter berfungsi dengan benar.</t>
  </si>
  <si>
    <t>PPAIP memeriksa CV pelamar sebelum meneruskan ke mitra.</t>
  </si>
  <si>
    <t>Terdapat pelamar yang mengunggah CV.</t>
  </si>
  <si>
    <t>PPA-03-TC02</t>
  </si>
  <si>
    <t>Pratinjau dan unduh CV pelamar</t>
  </si>
  <si>
    <t>1. Buka daftar pelamar mitra
2. Pilih salah satu pelamar
3. Klik pratinjau CV lalu unduh CV</t>
  </si>
  <si>
    <t>Berkas CV terbuka dan terunduh dengan benar sesuai berkas yang diunggah mahasiswa.</t>
  </si>
  <si>
    <t>Data pelamar dapat diekspor untuk kebutuhan pelaporan.</t>
  </si>
  <si>
    <t>Terdapat data pelamar.</t>
  </si>
  <si>
    <t>PPA-03-TC03</t>
  </si>
  <si>
    <t>Mengekspor data pelamar ke Excel</t>
  </si>
  <si>
    <t>1. Buka menu Pelamar Mitra
2. Klik tombol Export
3. Buka berkas hasil unduhan</t>
  </si>
  <si>
    <t>Berkas Excel terunduh dan berisi data pelamar yang sesuai dengan yang tampil pada aplikasi.</t>
  </si>
  <si>
    <t>PPA-04</t>
  </si>
  <si>
    <t>Pemantauan Mahasiswa Lintas Prodi</t>
  </si>
  <si>
    <t>PPAIP memantau seluruh mahasiswa magang lintas program studi.</t>
  </si>
  <si>
    <t>PPA-04-TC01</t>
  </si>
  <si>
    <t>Melihat rekap mahasiswa dan progres siklus</t>
  </si>
  <si>
    <t>1. Buka menu data mahasiswa pada panel admin
2. Perhatikan status siklus, jalur, dan progres penilaian sidang</t>
  </si>
  <si>
    <t>Seluruh mahasiswa dari semua program studi tampil dengan status siklus dan progres penilaian yang akurat.</t>
  </si>
  <si>
    <t>PPAIP dapat menutup siklus mahasiswa yang penilaiannya lengkap.</t>
  </si>
  <si>
    <t>Mahasiswa berstatus MenungguSidang dengan penilaian 3/3.</t>
  </si>
  <si>
    <t>PPA-04-TC02</t>
  </si>
  <si>
    <t>Menyelesaikan siklus magang dari panel PPAIP</t>
  </si>
  <si>
    <t>1. Buka data mahasiswa dengan penilaian lengkap
2. Klik aksi Selesaikan Siklus
3. Konfirmasi</t>
  </si>
  <si>
    <t>Status mahasiswa menjadi SiklusSelesai dan siklus tercatat pada riwayat beserta nilai akhir.</t>
  </si>
  <si>
    <t>PPA-05</t>
  </si>
  <si>
    <t>Pengelolaan Data Dosen</t>
  </si>
  <si>
    <t>PPAIP mengelola data dosen yang berperan sebagai Kaprodi, DPM, dan penguji.</t>
  </si>
  <si>
    <t>PPA-05-TC01</t>
  </si>
  <si>
    <t>Menambah dan memperbarui data dosen</t>
  </si>
  <si>
    <t>1. Buka menu data dosen pada panel admin
2. Tambah dosen baru (NIDN, nama, program studi, kontak)
3. Simpan lalu ubah salah satu datanya</t>
  </si>
  <si>
    <t>Data dosen tersimpan dan diperbarui dengan benar, serta muncul sebagai pilihan saat penunjukan DPM/penguji.</t>
  </si>
  <si>
    <t>DPM-01</t>
  </si>
  <si>
    <t>Review Logbook Mahasiswa</t>
  </si>
  <si>
    <t>DPM memverifikasi logbook kegiatan mahasiswa bimbingannya.</t>
  </si>
  <si>
    <t>Login sebagai DPM; terdapat logbook mahasiswa bimbingan berstatus Menunggu Review.</t>
  </si>
  <si>
    <t>DPM-01-TC01</t>
  </si>
  <si>
    <t>Menyetujui logbook mahasiswa</t>
  </si>
  <si>
    <t>1. Login ke panel admin sebagai DPM
2. Buka menu logbook
3. Pilih mahasiswa bimbingan
4. Periksa isi logbook
5. Klik aksi Setujui</t>
  </si>
  <si>
    <t>Status logbook berubah menjadi Disetujui dan progres logbook mahasiswa bertambah satu.</t>
  </si>
  <si>
    <t>DPM menolak logbook yang belum sesuai disertai catatan perbaikan.</t>
  </si>
  <si>
    <t>Terdapat logbook berstatus Menunggu Review.</t>
  </si>
  <si>
    <t>DPM-01-TC02</t>
  </si>
  <si>
    <t>Menolak logbook dengan catatan</t>
  </si>
  <si>
    <t>1. Buka daftar logbook mahasiswa bimbingan
2. Pilih logbook yang akan ditolak
3. Klik aksi Tolak
4. Isi catatan perbaikan lalu simpan</t>
  </si>
  <si>
    <t>Status logbook menjadi Ditolak dan catatan DPM tampil pada halaman logbook mahasiswa.</t>
  </si>
  <si>
    <t>Catatan wajib diisi saat menolak logbook.</t>
  </si>
  <si>
    <t>DPM-01-TC03</t>
  </si>
  <si>
    <t>Menolak logbook tanpa catatan</t>
  </si>
  <si>
    <t>1. Pilih logbook yang akan ditolak
2. Klik aksi Tolak
3. Kosongkan catatan lalu simpan</t>
  </si>
  <si>
    <t>Sistem menolak aksi dan menampilkan pesan bahwa catatan wajib diisi.</t>
  </si>
  <si>
    <t>DPM hanya dapat mengakses logbook mahasiswa bimbingannya.</t>
  </si>
  <si>
    <t>Terdapat mahasiswa yang dibimbing DPM lain.</t>
  </si>
  <si>
    <t>DPM-01-TC04</t>
  </si>
  <si>
    <t>Mengakses logbook mahasiswa bimbingan dosen lain</t>
  </si>
  <si>
    <t>1. Login sebagai DPM A
2. Buka daftar logbook
3. Cari mahasiswa yang dibimbing DPM B</t>
  </si>
  <si>
    <t>Mahasiswa bimbingan DPM lain tidak tampil pada daftar dan logbooknya tidak dapat direview.</t>
  </si>
  <si>
    <t>Persetujuan logbook keenam membuka tahap sidang bagi mahasiswa.</t>
  </si>
  <si>
    <t>Mahasiswa sudah memiliki 5 logbook disetujui.</t>
  </si>
  <si>
    <t>DPM-01-TC05</t>
  </si>
  <si>
    <t>Menyetujui logbook keenam</t>
  </si>
  <si>
    <t>1. Setujui logbook keenam milik mahasiswa
2. Periksa status mahasiswa pada daftar
3. Konfirmasi tampilan pada akun mahasiswa</t>
  </si>
  <si>
    <t>Status mahasiswa otomatis berubah menjadi LogbookComplete dan menu Sidang Magang terbuka pada akun mahasiswa.</t>
  </si>
  <si>
    <t>DPM-02</t>
  </si>
  <si>
    <t>Penilaian Sidang oleh DPM</t>
  </si>
  <si>
    <t>DPM memberikan penilaian sidang sesuai perannya.</t>
  </si>
  <si>
    <t>Sidang mahasiswa bimbingan sudah dijadwalkan (Scheduled).</t>
  </si>
  <si>
    <t>DPM-02-TC01</t>
  </si>
  <si>
    <t>Menginput nilai sidang sebagai DPM</t>
  </si>
  <si>
    <t>1. Buka menu penilaian sidang
2. Pilih mahasiswa bimbingan yang sidangnya telah dijadwalkan
3. Isi nilai kinerja magang, laporan akhir, dan presentasi
4. Simpan penilaian</t>
  </si>
  <si>
    <t>Nilai tersimpan sebagai penilaian peran DPM dan progres penilaian sidang bertambah menjadi 1/3.</t>
  </si>
  <si>
    <t>Validasi rentang nilai yang diperbolehkan.</t>
  </si>
  <si>
    <t>Sidang sudah dijadwalkan.</t>
  </si>
  <si>
    <t>DPM-02-TC02</t>
  </si>
  <si>
    <t>Menginput nilai di luar rentang 0-100</t>
  </si>
  <si>
    <t>1. Buka form penilaian sidang
2. Isi salah satu komponen nilai dengan angka lebih dari 100 atau negatif
3. Simpan</t>
  </si>
  <si>
    <t>Sistem menolak penyimpanan dan menampilkan pesan validasi rentang nilai.</t>
  </si>
  <si>
    <t>Nilai yang sudah diinput dapat diperbaiki sebelum siklus ditutup.</t>
  </si>
  <si>
    <t>DPM sudah menginput nilai dan siklus belum diselesaikan.</t>
  </si>
  <si>
    <t>DPM-02-TC03</t>
  </si>
  <si>
    <t>Memperbarui nilai yang sudah tersimpan</t>
  </si>
  <si>
    <t>1. Buka kembali form penilaian mahasiswa yang sama
2. Ubah salah satu komponen nilai
3. Simpan</t>
  </si>
  <si>
    <t>Nilai diperbarui tanpa menciptakan data penilaian ganda (tetap satu penilaian untuk peran DPM).</t>
  </si>
  <si>
    <t>DPM-03</t>
  </si>
  <si>
    <t>Data Mahasiswa Bimbingan</t>
  </si>
  <si>
    <t>DPM memantau mahasiswa bimbingannya.</t>
  </si>
  <si>
    <t>Login sebagai DPM dengan minimal satu mahasiswa bimbingan.</t>
  </si>
  <si>
    <t>DPM-03-TC01</t>
  </si>
  <si>
    <t>Melihat daftar mahasiswa bimbingan</t>
  </si>
  <si>
    <t>1. Buka menu mahasiswa bimbingan pada panel admin
2. Perhatikan status dan progres logbook masing-masing mahasiswa</t>
  </si>
  <si>
    <t>Hanya mahasiswa bimbingan DPM tersebut yang tampil, lengkap dengan status siklus dan progres logbook.</t>
  </si>
  <si>
    <t>PGJ-01</t>
  </si>
  <si>
    <t>Penilaian Sidang oleh Dosen Penguji</t>
  </si>
  <si>
    <t>Dosen penguji melihat jadwal sidang yang ditugaskan kepadanya.</t>
  </si>
  <si>
    <t>Login sebagai Dosen Penguji; sudah ditetapkan sebagai Penguji 1 atau 2 pada minimal satu sidang.</t>
  </si>
  <si>
    <t>PGJ-01-TC01</t>
  </si>
  <si>
    <t>Melihat daftar sidang yang diuji</t>
  </si>
  <si>
    <t>1. Login ke panel admin sebagai Dosen Penguji
2. Buka menu sidang yang diuji
3. Perhatikan daftar mahasiswa, jadwal, dan ruangan</t>
  </si>
  <si>
    <t>Hanya sidang tempat dosen tersebut ditugaskan yang tampil, lengkap dengan tanggal, waktu, dan ruangan.</t>
  </si>
  <si>
    <t>Dosen penguji memberikan penilaian sesuai perannya.</t>
  </si>
  <si>
    <t>Sidang berstatus Scheduled dan dosen ditetapkan sebagai Penguji 1.</t>
  </si>
  <si>
    <t>PGJ-01-TC02</t>
  </si>
  <si>
    <t>Menginput nilai sebagai Penguji 1</t>
  </si>
  <si>
    <t>1. Buka daftar sidang yang diuji
2. Pilih mahasiswa yang akan dinilai
3. Isi nilai kinerja magang, laporan akhir, dan presentasi
4. Simpan penilaian</t>
  </si>
  <si>
    <t>Nilai tersimpan sebagai penilaian peran Penguji 1 dan progres penilaian bertambah.</t>
  </si>
  <si>
    <t>Penilaian Penguji 2 tercatat terpisah dari Penguji 1.</t>
  </si>
  <si>
    <t>Sidang berstatus Scheduled dan dosen ditetapkan sebagai Penguji 2.</t>
  </si>
  <si>
    <t>PGJ-01-TC03</t>
  </si>
  <si>
    <t>Menginput nilai sebagai Penguji 2</t>
  </si>
  <si>
    <t>1. Login sebagai dosen yang ditetapkan sebagai Penguji 2
2. Buka sidang mahasiswa yang sama
3. Isi ketiga komponen nilai
4. Simpan</t>
  </si>
  <si>
    <t>Nilai tersimpan terpisah sebagai peran Penguji 2 dan progres penilaian menjadi lengkap (3/3) bila DPM sudah menilai.</t>
  </si>
  <si>
    <t>Dosen tidak dapat menilai sidang yang bukan tugasnya.</t>
  </si>
  <si>
    <t>Terdapat sidang yang tidak menugaskan dosen tersebut.</t>
  </si>
  <si>
    <t>PGJ-01-TC04</t>
  </si>
  <si>
    <t>Mengakses sidang yang tidak ditugaskan</t>
  </si>
  <si>
    <t>1. Login sebagai Dosen Penguji
2. Buka daftar sidang
3. Cari sidang mahasiswa yang tidak menugaskan dosen tersebut</t>
  </si>
  <si>
    <t>Sidang tersebut tidak tampil pada daftar dan penilaiannya tidak dapat diisi.</t>
  </si>
  <si>
    <t>PGJ-02</t>
  </si>
  <si>
    <t>Perhitungan Nilai Akhir Sidang</t>
  </si>
  <si>
    <t>Nilai akhir dihitung dari bobot komponen dan rata-rata penguji.</t>
  </si>
  <si>
    <t>Ketiga penilaian (DPM, Penguji 1, Penguji 2) sudah terisi.</t>
  </si>
  <si>
    <t>PGJ-02-TC01</t>
  </si>
  <si>
    <t>Memverifikasi perhitungan nilai akhir dan grade</t>
  </si>
  <si>
    <t>1. Isi ketiga penilaian dengan nilai yang diketahui (mis. DPM 80, Penguji 1 82, Penguji 2 84)
2. Buka rekap penilaian pada panel PPAIP/Kaprodi
3. Bandingkan nilai akhir dengan perhitungan manual
   (bobot: kinerja 50%, laporan 30%, presentasi 20%;
   nilai akhir = (nilai DPM + rata-rata penguji x 2) / 3)</t>
  </si>
  <si>
    <t>Nilai akhir yang ditampilkan sistem sama dengan hasil perhitungan manual dan grade huruf sesuai rentang (mis. 82 = A-).</t>
  </si>
  <si>
    <t>REKAPITULASI HASIL PENGUJIAN</t>
  </si>
  <si>
    <t>Lembar Pengujian</t>
  </si>
  <si>
    <t>Jumlah Test Case</t>
  </si>
  <si>
    <t>Berfungsi (Ya)</t>
  </si>
  <si>
    <t>Tidak Berfungsi</t>
  </si>
  <si>
    <t>Belum Diuji</t>
  </si>
  <si>
    <t>Persentase Berhasil</t>
  </si>
  <si>
    <t>Autentikasi</t>
  </si>
  <si>
    <t>DPM</t>
  </si>
  <si>
    <t>TOTAL</t>
  </si>
  <si>
    <t>Kesimpulan Pengujian</t>
  </si>
  <si>
    <t>Catatan Umum</t>
  </si>
  <si>
    <t>Rekomendasi</t>
  </si>
  <si>
    <t>Disetujui Oleh (PPAIP)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</si>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</sst>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1B7F3B"/>
      <name val="Arial"/>
      <charset val="1"/>
    </font>
    <font>
      <b/>
      <sz val="10"/>
      <color rgb="FFB3261E"/>
      <name val="Arial"/>
      <charset val="1"/>
    </font>
    <font>
      <b/>
      <sz val="14"/>
      <color rgb="FF85171A"/>
      <name val="Arial"/>
      <charset val="1"/>
    </font>
    <font>
      <b/>
      <sz val="11"/>
      <color rgb="FF85171A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85171A"/>
        <bgColor rgb="FF800000"/>
      </patternFill>
    </fill>
    <fill>
      <patternFill patternType="solid">
        <fgColor rgb="FFF9ECEC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1" fillId="0" borderId="0" xfId="0" applyFont="1" applyAlignment="1">
      <alignment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5171A"/>
      <rgbColor rgb="FF1B7F3B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ECE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B3261E"/>
      <rgbColor rgb="FF993366"/>
      <rgbColor rgb="FF333399"/>
      <rgbColor rgb="FF6828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tabSelected="1" zoomScaleNormal="100" workbookViewId="0">
      <pane ySplit="1" topLeftCell="A2" activePane="bottomLeft" state="frozen"/>
      <selection pane="bottomLeft" activeCell="C22" sqref="C22"/>
    </sheetView>
  </sheetViews>
  <sheetFormatPr baseColWidth="10" defaultColWidth="8.6640625" defaultRowHeight="15" x14ac:dyDescent="0.2"/>
  <cols>
    <col min="1" max="1" width="12" customWidth="1"/>
    <col min="2" max="2" width="26" customWidth="1"/>
    <col min="3" max="3" width="42" customWidth="1"/>
    <col min="4" max="4" width="14" customWidth="1"/>
    <col min="5" max="5" width="32" customWidth="1"/>
    <col min="6" max="6" width="14" customWidth="1"/>
    <col min="7" max="7" width="34" customWidth="1"/>
    <col min="8" max="9" width="52" customWidth="1"/>
    <col min="10" max="10" width="26" customWidth="1"/>
    <col min="11" max="11" width="13" customWidth="1"/>
  </cols>
  <sheetData>
    <row r="1" spans="1:11" ht="31.5" customHeight="1" x14ac:dyDescent="0.2">
      <c r="A1" s="1" t="s">
        <v>0</v>
      </c>
      <c r="B1" s="1" t="s">
        <v>1</v>
      </c>
      <c r="C1" s="1" t="s">
        <v>2</v>
      </c>
      <c r="D1" s="1" t="s">
        <v>13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14</v>
      </c>
    </row>
    <row r="2" spans="1:11" ht="51.75" customHeight="1" x14ac:dyDescent="0.2">
      <c r="A2" s="2" t="s">
        <v>15</v>
      </c>
      <c r="B2" s="3" t="s">
        <v>16</v>
      </c>
      <c r="C2" s="3" t="s">
        <v>17</v>
      </c>
      <c r="D2" s="4" t="s">
        <v>18</v>
      </c>
      <c r="E2" s="3" t="s">
        <v>19</v>
      </c>
      <c r="F2" s="2" t="s">
        <v>20</v>
      </c>
      <c r="G2" s="3" t="s">
        <v>21</v>
      </c>
      <c r="H2" s="3" t="s">
        <v>22</v>
      </c>
      <c r="I2" s="3" t="s">
        <v>23</v>
      </c>
      <c r="J2" s="3"/>
      <c r="K2" s="2"/>
    </row>
    <row r="3" spans="1:11" ht="51.75" customHeight="1" x14ac:dyDescent="0.2">
      <c r="A3" s="5" t="s">
        <v>15</v>
      </c>
      <c r="B3" s="6" t="s">
        <v>16</v>
      </c>
      <c r="C3" s="6" t="s">
        <v>17</v>
      </c>
      <c r="D3" s="7" t="s">
        <v>18</v>
      </c>
      <c r="E3" s="6" t="s">
        <v>19</v>
      </c>
      <c r="F3" s="5" t="s">
        <v>24</v>
      </c>
      <c r="G3" s="6" t="s">
        <v>25</v>
      </c>
      <c r="H3" s="6" t="s">
        <v>26</v>
      </c>
      <c r="I3" s="6" t="s">
        <v>27</v>
      </c>
      <c r="J3" s="6"/>
      <c r="K3" s="5"/>
    </row>
    <row r="4" spans="1:11" ht="51.75" customHeight="1" x14ac:dyDescent="0.2">
      <c r="A4" s="2" t="s">
        <v>28</v>
      </c>
      <c r="B4" s="3" t="s">
        <v>29</v>
      </c>
      <c r="C4" s="3" t="s">
        <v>30</v>
      </c>
      <c r="D4" s="8" t="s">
        <v>31</v>
      </c>
      <c r="E4" s="3" t="s">
        <v>32</v>
      </c>
      <c r="F4" s="2" t="s">
        <v>33</v>
      </c>
      <c r="G4" s="3" t="s">
        <v>34</v>
      </c>
      <c r="H4" s="3" t="s">
        <v>35</v>
      </c>
      <c r="I4" s="3" t="s">
        <v>36</v>
      </c>
      <c r="J4" s="3"/>
      <c r="K4" s="2"/>
    </row>
    <row r="5" spans="1:11" ht="51.75" customHeight="1" x14ac:dyDescent="0.2">
      <c r="A5" s="5" t="s">
        <v>28</v>
      </c>
      <c r="B5" s="6" t="s">
        <v>29</v>
      </c>
      <c r="C5" s="6" t="s">
        <v>30</v>
      </c>
      <c r="D5" s="9" t="s">
        <v>31</v>
      </c>
      <c r="E5" s="6" t="s">
        <v>37</v>
      </c>
      <c r="F5" s="5" t="s">
        <v>38</v>
      </c>
      <c r="G5" s="6" t="s">
        <v>39</v>
      </c>
      <c r="H5" s="6" t="s">
        <v>40</v>
      </c>
      <c r="I5" s="6" t="s">
        <v>41</v>
      </c>
      <c r="J5" s="6"/>
      <c r="K5" s="5"/>
    </row>
    <row r="6" spans="1:11" ht="45" customHeight="1" x14ac:dyDescent="0.2">
      <c r="A6" s="2" t="s">
        <v>42</v>
      </c>
      <c r="B6" s="3" t="s">
        <v>43</v>
      </c>
      <c r="C6" s="3" t="s">
        <v>44</v>
      </c>
      <c r="D6" s="8" t="s">
        <v>31</v>
      </c>
      <c r="E6" s="3" t="s">
        <v>32</v>
      </c>
      <c r="F6" s="2" t="s">
        <v>45</v>
      </c>
      <c r="G6" s="3" t="s">
        <v>46</v>
      </c>
      <c r="H6" s="3" t="s">
        <v>47</v>
      </c>
      <c r="I6" s="3" t="s">
        <v>48</v>
      </c>
      <c r="J6" s="3"/>
      <c r="K6" s="2"/>
    </row>
    <row r="7" spans="1:11" ht="45" customHeight="1" x14ac:dyDescent="0.2">
      <c r="A7" s="2" t="s">
        <v>49</v>
      </c>
      <c r="B7" s="3" t="s">
        <v>50</v>
      </c>
      <c r="C7" s="3" t="s">
        <v>51</v>
      </c>
      <c r="D7" s="8" t="s">
        <v>31</v>
      </c>
      <c r="E7" s="3" t="s">
        <v>52</v>
      </c>
      <c r="F7" s="2" t="s">
        <v>53</v>
      </c>
      <c r="G7" s="3" t="s">
        <v>54</v>
      </c>
      <c r="H7" s="3" t="s">
        <v>55</v>
      </c>
      <c r="I7" s="3" t="s">
        <v>56</v>
      </c>
      <c r="J7" s="3"/>
      <c r="K7" s="2"/>
    </row>
    <row r="8" spans="1:11" ht="45" customHeight="1" x14ac:dyDescent="0.2">
      <c r="A8" s="2" t="s">
        <v>57</v>
      </c>
      <c r="B8" s="3" t="s">
        <v>58</v>
      </c>
      <c r="C8" s="3" t="s">
        <v>59</v>
      </c>
      <c r="D8" s="8" t="s">
        <v>31</v>
      </c>
      <c r="E8" s="3" t="s">
        <v>60</v>
      </c>
      <c r="F8" s="2" t="s">
        <v>61</v>
      </c>
      <c r="G8" s="3" t="s">
        <v>62</v>
      </c>
      <c r="H8" s="3" t="s">
        <v>63</v>
      </c>
      <c r="I8" s="3" t="s">
        <v>64</v>
      </c>
      <c r="J8" s="3"/>
      <c r="K8" s="2"/>
    </row>
    <row r="9" spans="1:11" ht="45" customHeight="1" x14ac:dyDescent="0.2">
      <c r="A9" s="2" t="s">
        <v>65</v>
      </c>
      <c r="B9" s="3" t="s">
        <v>66</v>
      </c>
      <c r="C9" s="3" t="s">
        <v>67</v>
      </c>
      <c r="D9" s="4" t="s">
        <v>18</v>
      </c>
      <c r="E9" s="3" t="s">
        <v>68</v>
      </c>
      <c r="F9" s="2" t="s">
        <v>69</v>
      </c>
      <c r="G9" s="3" t="s">
        <v>70</v>
      </c>
      <c r="H9" s="3" t="s">
        <v>71</v>
      </c>
      <c r="I9" s="3" t="s">
        <v>72</v>
      </c>
      <c r="J9" s="3"/>
      <c r="K9" s="2"/>
    </row>
  </sheetData>
  <autoFilter ref="A1:K9" xr:uid="{00000000-0009-0000-0000-000001000000}"/>
  <dataValidations count="1">
    <dataValidation type="list" allowBlank="1" promptTitle="Hasil Pengujian" prompt="Pilih Ya bila fungsi berjalan sesuai Expected Result" sqref="K2:K9" xr:uid="{00000000-0002-0000-0100-000000000000}">
      <formula1>"Ya,Tidak"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26" customWidth="1"/>
    <col min="3" max="3" width="42" customWidth="1"/>
    <col min="4" max="4" width="14" customWidth="1"/>
    <col min="5" max="5" width="32" customWidth="1"/>
    <col min="6" max="6" width="14" customWidth="1"/>
    <col min="7" max="7" width="34" customWidth="1"/>
    <col min="8" max="9" width="52" customWidth="1"/>
    <col min="10" max="10" width="26" customWidth="1"/>
    <col min="11" max="11" width="13" customWidth="1"/>
  </cols>
  <sheetData>
    <row r="1" spans="1:11" ht="31.5" customHeight="1" x14ac:dyDescent="0.2">
      <c r="A1" s="1" t="s">
        <v>0</v>
      </c>
      <c r="B1" s="1" t="s">
        <v>1</v>
      </c>
      <c r="C1" s="1" t="s">
        <v>2</v>
      </c>
      <c r="D1" s="1" t="s">
        <v>13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14</v>
      </c>
    </row>
    <row r="2" spans="1:11" ht="90.75" customHeight="1" x14ac:dyDescent="0.2">
      <c r="A2" s="2" t="s">
        <v>73</v>
      </c>
      <c r="B2" s="3" t="s">
        <v>74</v>
      </c>
      <c r="C2" s="3" t="s">
        <v>75</v>
      </c>
      <c r="D2" s="4" t="s">
        <v>18</v>
      </c>
      <c r="E2" s="3" t="s">
        <v>76</v>
      </c>
      <c r="F2" s="2" t="s">
        <v>77</v>
      </c>
      <c r="G2" s="3" t="s">
        <v>78</v>
      </c>
      <c r="H2" s="3" t="s">
        <v>79</v>
      </c>
      <c r="I2" s="3" t="s">
        <v>80</v>
      </c>
      <c r="J2" s="3"/>
      <c r="K2" s="2"/>
    </row>
    <row r="3" spans="1:11" ht="51.75" customHeight="1" x14ac:dyDescent="0.2">
      <c r="A3" s="5" t="s">
        <v>73</v>
      </c>
      <c r="B3" s="6" t="s">
        <v>74</v>
      </c>
      <c r="C3" s="6" t="s">
        <v>75</v>
      </c>
      <c r="D3" s="9" t="s">
        <v>31</v>
      </c>
      <c r="E3" s="6" t="s">
        <v>81</v>
      </c>
      <c r="F3" s="5" t="s">
        <v>82</v>
      </c>
      <c r="G3" s="6" t="s">
        <v>83</v>
      </c>
      <c r="H3" s="6" t="s">
        <v>84</v>
      </c>
      <c r="I3" s="6" t="s">
        <v>85</v>
      </c>
      <c r="J3" s="6"/>
      <c r="K3" s="5"/>
    </row>
    <row r="4" spans="1:11" ht="51.75" customHeight="1" x14ac:dyDescent="0.2">
      <c r="A4" s="5" t="s">
        <v>73</v>
      </c>
      <c r="B4" s="6" t="s">
        <v>74</v>
      </c>
      <c r="C4" s="6" t="s">
        <v>86</v>
      </c>
      <c r="D4" s="9" t="s">
        <v>31</v>
      </c>
      <c r="E4" s="6" t="s">
        <v>87</v>
      </c>
      <c r="F4" s="5" t="s">
        <v>88</v>
      </c>
      <c r="G4" s="6" t="s">
        <v>89</v>
      </c>
      <c r="H4" s="6" t="s">
        <v>90</v>
      </c>
      <c r="I4" s="6" t="s">
        <v>91</v>
      </c>
      <c r="J4" s="6"/>
      <c r="K4" s="5"/>
    </row>
    <row r="5" spans="1:11" ht="51.75" customHeight="1" x14ac:dyDescent="0.2">
      <c r="A5" s="5" t="s">
        <v>73</v>
      </c>
      <c r="B5" s="6" t="s">
        <v>74</v>
      </c>
      <c r="C5" s="6" t="s">
        <v>92</v>
      </c>
      <c r="D5" s="9" t="s">
        <v>31</v>
      </c>
      <c r="E5" s="6" t="s">
        <v>93</v>
      </c>
      <c r="F5" s="5" t="s">
        <v>94</v>
      </c>
      <c r="G5" s="6" t="s">
        <v>95</v>
      </c>
      <c r="H5" s="6" t="s">
        <v>96</v>
      </c>
      <c r="I5" s="6" t="s">
        <v>97</v>
      </c>
      <c r="J5" s="6"/>
      <c r="K5" s="5"/>
    </row>
    <row r="6" spans="1:11" ht="64.5" customHeight="1" x14ac:dyDescent="0.2">
      <c r="A6" s="2" t="s">
        <v>98</v>
      </c>
      <c r="B6" s="3" t="s">
        <v>99</v>
      </c>
      <c r="C6" s="3" t="s">
        <v>100</v>
      </c>
      <c r="D6" s="4" t="s">
        <v>18</v>
      </c>
      <c r="E6" s="3" t="s">
        <v>101</v>
      </c>
      <c r="F6" s="2" t="s">
        <v>102</v>
      </c>
      <c r="G6" s="3" t="s">
        <v>103</v>
      </c>
      <c r="H6" s="3" t="s">
        <v>104</v>
      </c>
      <c r="I6" s="3" t="s">
        <v>105</v>
      </c>
      <c r="J6" s="3"/>
      <c r="K6" s="2"/>
    </row>
    <row r="7" spans="1:11" ht="45" customHeight="1" x14ac:dyDescent="0.2">
      <c r="A7" s="2" t="s">
        <v>106</v>
      </c>
      <c r="B7" s="3" t="s">
        <v>107</v>
      </c>
      <c r="C7" s="3" t="s">
        <v>108</v>
      </c>
      <c r="D7" s="4" t="s">
        <v>18</v>
      </c>
      <c r="E7" s="3" t="s">
        <v>109</v>
      </c>
      <c r="F7" s="2" t="s">
        <v>110</v>
      </c>
      <c r="G7" s="3" t="s">
        <v>111</v>
      </c>
      <c r="H7" s="3" t="s">
        <v>112</v>
      </c>
      <c r="I7" s="3" t="s">
        <v>113</v>
      </c>
      <c r="J7" s="3"/>
      <c r="K7" s="2"/>
    </row>
    <row r="8" spans="1:11" ht="45" customHeight="1" x14ac:dyDescent="0.2">
      <c r="A8" s="5" t="s">
        <v>106</v>
      </c>
      <c r="B8" s="6" t="s">
        <v>107</v>
      </c>
      <c r="C8" s="6" t="s">
        <v>114</v>
      </c>
      <c r="D8" s="9" t="s">
        <v>31</v>
      </c>
      <c r="E8" s="6" t="s">
        <v>115</v>
      </c>
      <c r="F8" s="5" t="s">
        <v>116</v>
      </c>
      <c r="G8" s="6" t="s">
        <v>117</v>
      </c>
      <c r="H8" s="6" t="s">
        <v>118</v>
      </c>
      <c r="I8" s="6" t="s">
        <v>119</v>
      </c>
      <c r="J8" s="6"/>
      <c r="K8" s="5"/>
    </row>
    <row r="9" spans="1:11" ht="51.75" customHeight="1" x14ac:dyDescent="0.2">
      <c r="A9" s="5" t="s">
        <v>106</v>
      </c>
      <c r="B9" s="6" t="s">
        <v>107</v>
      </c>
      <c r="C9" s="6" t="s">
        <v>120</v>
      </c>
      <c r="D9" s="7" t="s">
        <v>18</v>
      </c>
      <c r="E9" s="6" t="s">
        <v>121</v>
      </c>
      <c r="F9" s="5" t="s">
        <v>122</v>
      </c>
      <c r="G9" s="6" t="s">
        <v>123</v>
      </c>
      <c r="H9" s="6" t="s">
        <v>124</v>
      </c>
      <c r="I9" s="6" t="s">
        <v>125</v>
      </c>
      <c r="J9" s="6"/>
      <c r="K9" s="5"/>
    </row>
    <row r="10" spans="1:11" ht="45" customHeight="1" x14ac:dyDescent="0.2">
      <c r="A10" s="2" t="s">
        <v>126</v>
      </c>
      <c r="B10" s="3" t="s">
        <v>127</v>
      </c>
      <c r="C10" s="3" t="s">
        <v>128</v>
      </c>
      <c r="D10" s="4" t="s">
        <v>18</v>
      </c>
      <c r="E10" s="3" t="s">
        <v>129</v>
      </c>
      <c r="F10" s="2" t="s">
        <v>130</v>
      </c>
      <c r="G10" s="3" t="s">
        <v>131</v>
      </c>
      <c r="H10" s="3" t="s">
        <v>132</v>
      </c>
      <c r="I10" s="3" t="s">
        <v>133</v>
      </c>
      <c r="J10" s="3"/>
      <c r="K10" s="2"/>
    </row>
    <row r="11" spans="1:11" ht="51.75" customHeight="1" x14ac:dyDescent="0.2">
      <c r="A11" s="5" t="s">
        <v>126</v>
      </c>
      <c r="B11" s="6" t="s">
        <v>127</v>
      </c>
      <c r="C11" s="6" t="s">
        <v>134</v>
      </c>
      <c r="D11" s="7" t="s">
        <v>18</v>
      </c>
      <c r="E11" s="6" t="s">
        <v>135</v>
      </c>
      <c r="F11" s="5" t="s">
        <v>136</v>
      </c>
      <c r="G11" s="6" t="s">
        <v>137</v>
      </c>
      <c r="H11" s="6" t="s">
        <v>138</v>
      </c>
      <c r="I11" s="6" t="s">
        <v>139</v>
      </c>
      <c r="J11" s="6"/>
      <c r="K11" s="5"/>
    </row>
    <row r="12" spans="1:11" ht="45" customHeight="1" x14ac:dyDescent="0.2">
      <c r="A12" s="5" t="s">
        <v>126</v>
      </c>
      <c r="B12" s="6" t="s">
        <v>127</v>
      </c>
      <c r="C12" s="6" t="s">
        <v>140</v>
      </c>
      <c r="D12" s="9" t="s">
        <v>31</v>
      </c>
      <c r="E12" s="6" t="s">
        <v>141</v>
      </c>
      <c r="F12" s="5" t="s">
        <v>142</v>
      </c>
      <c r="G12" s="6" t="s">
        <v>143</v>
      </c>
      <c r="H12" s="6" t="s">
        <v>144</v>
      </c>
      <c r="I12" s="6" t="s">
        <v>145</v>
      </c>
      <c r="J12" s="6"/>
      <c r="K12" s="5"/>
    </row>
    <row r="13" spans="1:11" ht="45" customHeight="1" x14ac:dyDescent="0.2">
      <c r="A13" s="5" t="s">
        <v>126</v>
      </c>
      <c r="B13" s="6" t="s">
        <v>127</v>
      </c>
      <c r="C13" s="6" t="s">
        <v>146</v>
      </c>
      <c r="D13" s="9" t="s">
        <v>31</v>
      </c>
      <c r="E13" s="6" t="s">
        <v>147</v>
      </c>
      <c r="F13" s="5" t="s">
        <v>148</v>
      </c>
      <c r="G13" s="6" t="s">
        <v>149</v>
      </c>
      <c r="H13" s="6" t="s">
        <v>150</v>
      </c>
      <c r="I13" s="6" t="s">
        <v>151</v>
      </c>
      <c r="J13" s="6"/>
      <c r="K13" s="5"/>
    </row>
    <row r="14" spans="1:11" ht="51.75" customHeight="1" x14ac:dyDescent="0.2">
      <c r="A14" s="5" t="s">
        <v>126</v>
      </c>
      <c r="B14" s="6" t="s">
        <v>127</v>
      </c>
      <c r="C14" s="6" t="s">
        <v>152</v>
      </c>
      <c r="D14" s="9" t="s">
        <v>31</v>
      </c>
      <c r="E14" s="6" t="s">
        <v>153</v>
      </c>
      <c r="F14" s="5" t="s">
        <v>154</v>
      </c>
      <c r="G14" s="6" t="s">
        <v>155</v>
      </c>
      <c r="H14" s="6" t="s">
        <v>156</v>
      </c>
      <c r="I14" s="6" t="s">
        <v>157</v>
      </c>
      <c r="J14" s="6"/>
      <c r="K14" s="5"/>
    </row>
    <row r="15" spans="1:11" ht="64.5" customHeight="1" x14ac:dyDescent="0.2">
      <c r="A15" s="2" t="s">
        <v>158</v>
      </c>
      <c r="B15" s="3" t="s">
        <v>159</v>
      </c>
      <c r="C15" s="3" t="s">
        <v>160</v>
      </c>
      <c r="D15" s="4" t="s">
        <v>18</v>
      </c>
      <c r="E15" s="3" t="s">
        <v>161</v>
      </c>
      <c r="F15" s="2" t="s">
        <v>162</v>
      </c>
      <c r="G15" s="3" t="s">
        <v>163</v>
      </c>
      <c r="H15" s="3" t="s">
        <v>164</v>
      </c>
      <c r="I15" s="3" t="s">
        <v>165</v>
      </c>
      <c r="J15" s="3"/>
      <c r="K15" s="2"/>
    </row>
    <row r="16" spans="1:11" ht="51.75" customHeight="1" x14ac:dyDescent="0.2">
      <c r="A16" s="5" t="s">
        <v>158</v>
      </c>
      <c r="B16" s="6" t="s">
        <v>159</v>
      </c>
      <c r="C16" s="6" t="s">
        <v>166</v>
      </c>
      <c r="D16" s="9" t="s">
        <v>31</v>
      </c>
      <c r="E16" s="6" t="s">
        <v>161</v>
      </c>
      <c r="F16" s="5" t="s">
        <v>167</v>
      </c>
      <c r="G16" s="6" t="s">
        <v>168</v>
      </c>
      <c r="H16" s="6" t="s">
        <v>169</v>
      </c>
      <c r="I16" s="6" t="s">
        <v>170</v>
      </c>
      <c r="J16" s="6"/>
      <c r="K16" s="5"/>
    </row>
    <row r="17" spans="1:11" ht="45" customHeight="1" x14ac:dyDescent="0.2">
      <c r="A17" s="5" t="s">
        <v>158</v>
      </c>
      <c r="B17" s="6" t="s">
        <v>159</v>
      </c>
      <c r="C17" s="6" t="s">
        <v>171</v>
      </c>
      <c r="D17" s="9" t="s">
        <v>31</v>
      </c>
      <c r="E17" s="6" t="s">
        <v>172</v>
      </c>
      <c r="F17" s="5" t="s">
        <v>173</v>
      </c>
      <c r="G17" s="6" t="s">
        <v>174</v>
      </c>
      <c r="H17" s="6" t="s">
        <v>175</v>
      </c>
      <c r="I17" s="6" t="s">
        <v>176</v>
      </c>
      <c r="J17" s="6"/>
      <c r="K17" s="5"/>
    </row>
    <row r="18" spans="1:11" ht="45" customHeight="1" x14ac:dyDescent="0.2">
      <c r="A18" s="5" t="s">
        <v>158</v>
      </c>
      <c r="B18" s="6" t="s">
        <v>159</v>
      </c>
      <c r="C18" s="6" t="s">
        <v>177</v>
      </c>
      <c r="D18" s="7" t="s">
        <v>18</v>
      </c>
      <c r="E18" s="6" t="s">
        <v>178</v>
      </c>
      <c r="F18" s="5" t="s">
        <v>179</v>
      </c>
      <c r="G18" s="6" t="s">
        <v>180</v>
      </c>
      <c r="H18" s="6" t="s">
        <v>181</v>
      </c>
      <c r="I18" s="6" t="s">
        <v>182</v>
      </c>
      <c r="J18" s="6"/>
      <c r="K18" s="5"/>
    </row>
    <row r="19" spans="1:11" ht="45" customHeight="1" x14ac:dyDescent="0.2">
      <c r="A19" s="5" t="s">
        <v>158</v>
      </c>
      <c r="B19" s="6" t="s">
        <v>159</v>
      </c>
      <c r="C19" s="6" t="s">
        <v>183</v>
      </c>
      <c r="D19" s="9" t="s">
        <v>31</v>
      </c>
      <c r="E19" s="6" t="s">
        <v>184</v>
      </c>
      <c r="F19" s="5" t="s">
        <v>185</v>
      </c>
      <c r="G19" s="6" t="s">
        <v>186</v>
      </c>
      <c r="H19" s="6" t="s">
        <v>187</v>
      </c>
      <c r="I19" s="6" t="s">
        <v>188</v>
      </c>
      <c r="J19" s="6"/>
      <c r="K19" s="5"/>
    </row>
    <row r="20" spans="1:11" ht="64.5" customHeight="1" x14ac:dyDescent="0.2">
      <c r="A20" s="2" t="s">
        <v>189</v>
      </c>
      <c r="B20" s="3" t="s">
        <v>190</v>
      </c>
      <c r="C20" s="3" t="s">
        <v>191</v>
      </c>
      <c r="D20" s="4" t="s">
        <v>18</v>
      </c>
      <c r="E20" s="3" t="s">
        <v>192</v>
      </c>
      <c r="F20" s="2" t="s">
        <v>193</v>
      </c>
      <c r="G20" s="3" t="s">
        <v>194</v>
      </c>
      <c r="H20" s="3" t="s">
        <v>195</v>
      </c>
      <c r="I20" s="3" t="s">
        <v>196</v>
      </c>
      <c r="J20" s="3"/>
      <c r="K20" s="2"/>
    </row>
    <row r="21" spans="1:11" ht="45" customHeight="1" x14ac:dyDescent="0.2">
      <c r="A21" s="5" t="s">
        <v>189</v>
      </c>
      <c r="B21" s="6" t="s">
        <v>190</v>
      </c>
      <c r="C21" s="6" t="s">
        <v>197</v>
      </c>
      <c r="D21" s="9" t="s">
        <v>31</v>
      </c>
      <c r="E21" s="6" t="s">
        <v>198</v>
      </c>
      <c r="F21" s="5" t="s">
        <v>199</v>
      </c>
      <c r="G21" s="6" t="s">
        <v>200</v>
      </c>
      <c r="H21" s="6" t="s">
        <v>201</v>
      </c>
      <c r="I21" s="6" t="s">
        <v>202</v>
      </c>
      <c r="J21" s="6"/>
      <c r="K21" s="5"/>
    </row>
    <row r="22" spans="1:11" ht="45" customHeight="1" x14ac:dyDescent="0.2">
      <c r="A22" s="5" t="s">
        <v>189</v>
      </c>
      <c r="B22" s="6" t="s">
        <v>190</v>
      </c>
      <c r="C22" s="6" t="s">
        <v>203</v>
      </c>
      <c r="D22" s="9" t="s">
        <v>31</v>
      </c>
      <c r="E22" s="6" t="s">
        <v>198</v>
      </c>
      <c r="F22" s="5" t="s">
        <v>204</v>
      </c>
      <c r="G22" s="6" t="s">
        <v>205</v>
      </c>
      <c r="H22" s="6" t="s">
        <v>206</v>
      </c>
      <c r="I22" s="6" t="s">
        <v>207</v>
      </c>
      <c r="J22" s="6"/>
      <c r="K22" s="5"/>
    </row>
    <row r="23" spans="1:11" ht="45" customHeight="1" x14ac:dyDescent="0.2">
      <c r="A23" s="5" t="s">
        <v>189</v>
      </c>
      <c r="B23" s="6" t="s">
        <v>190</v>
      </c>
      <c r="C23" s="6" t="s">
        <v>208</v>
      </c>
      <c r="D23" s="7" t="s">
        <v>18</v>
      </c>
      <c r="E23" s="6" t="s">
        <v>198</v>
      </c>
      <c r="F23" s="5" t="s">
        <v>209</v>
      </c>
      <c r="G23" s="6" t="s">
        <v>210</v>
      </c>
      <c r="H23" s="6" t="s">
        <v>211</v>
      </c>
      <c r="I23" s="6" t="s">
        <v>212</v>
      </c>
      <c r="J23" s="6"/>
      <c r="K23" s="5"/>
    </row>
    <row r="24" spans="1:11" ht="45" customHeight="1" x14ac:dyDescent="0.2">
      <c r="A24" s="5" t="s">
        <v>189</v>
      </c>
      <c r="B24" s="6" t="s">
        <v>190</v>
      </c>
      <c r="C24" s="6" t="s">
        <v>213</v>
      </c>
      <c r="D24" s="7" t="s">
        <v>18</v>
      </c>
      <c r="E24" s="6" t="s">
        <v>214</v>
      </c>
      <c r="F24" s="5" t="s">
        <v>215</v>
      </c>
      <c r="G24" s="6" t="s">
        <v>216</v>
      </c>
      <c r="H24" s="6" t="s">
        <v>217</v>
      </c>
      <c r="I24" s="6" t="s">
        <v>218</v>
      </c>
      <c r="J24" s="6"/>
      <c r="K24" s="5"/>
    </row>
    <row r="25" spans="1:11" ht="64.5" customHeight="1" x14ac:dyDescent="0.2">
      <c r="A25" s="2" t="s">
        <v>219</v>
      </c>
      <c r="B25" s="3" t="s">
        <v>220</v>
      </c>
      <c r="C25" s="3" t="s">
        <v>221</v>
      </c>
      <c r="D25" s="4" t="s">
        <v>18</v>
      </c>
      <c r="E25" s="3" t="s">
        <v>222</v>
      </c>
      <c r="F25" s="2" t="s">
        <v>223</v>
      </c>
      <c r="G25" s="3" t="s">
        <v>224</v>
      </c>
      <c r="H25" s="3" t="s">
        <v>225</v>
      </c>
      <c r="I25" s="3" t="s">
        <v>226</v>
      </c>
      <c r="J25" s="3"/>
      <c r="K25" s="2"/>
    </row>
    <row r="26" spans="1:11" ht="45" customHeight="1" x14ac:dyDescent="0.2">
      <c r="A26" s="5" t="s">
        <v>219</v>
      </c>
      <c r="B26" s="6" t="s">
        <v>220</v>
      </c>
      <c r="C26" s="6" t="s">
        <v>227</v>
      </c>
      <c r="D26" s="9" t="s">
        <v>31</v>
      </c>
      <c r="E26" s="6" t="s">
        <v>228</v>
      </c>
      <c r="F26" s="5" t="s">
        <v>229</v>
      </c>
      <c r="G26" s="6" t="s">
        <v>230</v>
      </c>
      <c r="H26" s="6" t="s">
        <v>231</v>
      </c>
      <c r="I26" s="6" t="s">
        <v>232</v>
      </c>
      <c r="J26" s="6"/>
      <c r="K26" s="5"/>
    </row>
    <row r="27" spans="1:11" ht="45" customHeight="1" x14ac:dyDescent="0.2">
      <c r="A27" s="5" t="s">
        <v>219</v>
      </c>
      <c r="B27" s="6" t="s">
        <v>220</v>
      </c>
      <c r="C27" s="6" t="s">
        <v>233</v>
      </c>
      <c r="D27" s="9" t="s">
        <v>31</v>
      </c>
      <c r="E27" s="6" t="s">
        <v>234</v>
      </c>
      <c r="F27" s="5" t="s">
        <v>235</v>
      </c>
      <c r="G27" s="6" t="s">
        <v>236</v>
      </c>
      <c r="H27" s="6" t="s">
        <v>237</v>
      </c>
      <c r="I27" s="6" t="s">
        <v>238</v>
      </c>
      <c r="J27" s="6"/>
      <c r="K27" s="5"/>
    </row>
    <row r="28" spans="1:11" ht="51.75" customHeight="1" x14ac:dyDescent="0.2">
      <c r="A28" s="2" t="s">
        <v>239</v>
      </c>
      <c r="B28" s="3" t="s">
        <v>240</v>
      </c>
      <c r="C28" s="3" t="s">
        <v>241</v>
      </c>
      <c r="D28" s="4" t="s">
        <v>18</v>
      </c>
      <c r="E28" s="3" t="s">
        <v>242</v>
      </c>
      <c r="F28" s="2" t="s">
        <v>243</v>
      </c>
      <c r="G28" s="3" t="s">
        <v>244</v>
      </c>
      <c r="H28" s="3" t="s">
        <v>245</v>
      </c>
      <c r="I28" s="3" t="s">
        <v>246</v>
      </c>
      <c r="J28" s="3"/>
      <c r="K28" s="2"/>
    </row>
    <row r="29" spans="1:11" ht="45" customHeight="1" x14ac:dyDescent="0.2">
      <c r="A29" s="5" t="s">
        <v>239</v>
      </c>
      <c r="B29" s="6" t="s">
        <v>240</v>
      </c>
      <c r="C29" s="6" t="s">
        <v>247</v>
      </c>
      <c r="D29" s="9" t="s">
        <v>31</v>
      </c>
      <c r="E29" s="6" t="s">
        <v>248</v>
      </c>
      <c r="F29" s="5" t="s">
        <v>249</v>
      </c>
      <c r="G29" s="6" t="s">
        <v>250</v>
      </c>
      <c r="H29" s="6" t="s">
        <v>251</v>
      </c>
      <c r="I29" s="6" t="s">
        <v>252</v>
      </c>
      <c r="J29" s="6"/>
      <c r="K29" s="5"/>
    </row>
    <row r="30" spans="1:11" ht="51.75" customHeight="1" x14ac:dyDescent="0.2">
      <c r="A30" s="5" t="s">
        <v>239</v>
      </c>
      <c r="B30" s="6" t="s">
        <v>240</v>
      </c>
      <c r="C30" s="6" t="s">
        <v>253</v>
      </c>
      <c r="D30" s="7" t="s">
        <v>18</v>
      </c>
      <c r="E30" s="6" t="s">
        <v>254</v>
      </c>
      <c r="F30" s="5" t="s">
        <v>255</v>
      </c>
      <c r="G30" s="6" t="s">
        <v>256</v>
      </c>
      <c r="H30" s="6" t="s">
        <v>257</v>
      </c>
      <c r="I30" s="6" t="s">
        <v>258</v>
      </c>
      <c r="J30" s="6"/>
      <c r="K30" s="5"/>
    </row>
    <row r="31" spans="1:11" ht="45" customHeight="1" x14ac:dyDescent="0.2">
      <c r="A31" s="5" t="s">
        <v>239</v>
      </c>
      <c r="B31" s="6" t="s">
        <v>240</v>
      </c>
      <c r="C31" s="6" t="s">
        <v>259</v>
      </c>
      <c r="D31" s="9" t="s">
        <v>31</v>
      </c>
      <c r="E31" s="6" t="s">
        <v>260</v>
      </c>
      <c r="F31" s="5" t="s">
        <v>261</v>
      </c>
      <c r="G31" s="6" t="s">
        <v>262</v>
      </c>
      <c r="H31" s="6" t="s">
        <v>263</v>
      </c>
      <c r="I31" s="6" t="s">
        <v>264</v>
      </c>
      <c r="J31" s="6"/>
      <c r="K31" s="5"/>
    </row>
    <row r="32" spans="1:11" ht="45" customHeight="1" x14ac:dyDescent="0.2">
      <c r="A32" s="5" t="s">
        <v>239</v>
      </c>
      <c r="B32" s="6" t="s">
        <v>240</v>
      </c>
      <c r="C32" s="6" t="s">
        <v>265</v>
      </c>
      <c r="D32" s="7" t="s">
        <v>18</v>
      </c>
      <c r="E32" s="6" t="s">
        <v>266</v>
      </c>
      <c r="F32" s="5" t="s">
        <v>267</v>
      </c>
      <c r="G32" s="6" t="s">
        <v>268</v>
      </c>
      <c r="H32" s="6" t="s">
        <v>269</v>
      </c>
      <c r="I32" s="6" t="s">
        <v>270</v>
      </c>
      <c r="J32" s="6"/>
      <c r="K32" s="5"/>
    </row>
    <row r="33" spans="1:11" ht="51.75" customHeight="1" x14ac:dyDescent="0.2">
      <c r="A33" s="2" t="s">
        <v>271</v>
      </c>
      <c r="B33" s="3" t="s">
        <v>272</v>
      </c>
      <c r="C33" s="3" t="s">
        <v>273</v>
      </c>
      <c r="D33" s="4" t="s">
        <v>18</v>
      </c>
      <c r="E33" s="3" t="s">
        <v>274</v>
      </c>
      <c r="F33" s="2" t="s">
        <v>275</v>
      </c>
      <c r="G33" s="3" t="s">
        <v>276</v>
      </c>
      <c r="H33" s="3" t="s">
        <v>277</v>
      </c>
      <c r="I33" s="3" t="s">
        <v>278</v>
      </c>
      <c r="J33" s="3"/>
      <c r="K33" s="2"/>
    </row>
    <row r="34" spans="1:11" ht="45" customHeight="1" x14ac:dyDescent="0.2">
      <c r="A34" s="5" t="s">
        <v>271</v>
      </c>
      <c r="B34" s="6" t="s">
        <v>272</v>
      </c>
      <c r="C34" s="6" t="s">
        <v>279</v>
      </c>
      <c r="D34" s="9" t="s">
        <v>31</v>
      </c>
      <c r="E34" s="6" t="s">
        <v>280</v>
      </c>
      <c r="F34" s="5" t="s">
        <v>281</v>
      </c>
      <c r="G34" s="6" t="s">
        <v>282</v>
      </c>
      <c r="H34" s="6" t="s">
        <v>283</v>
      </c>
      <c r="I34" s="6" t="s">
        <v>284</v>
      </c>
      <c r="J34" s="6"/>
      <c r="K34" s="5"/>
    </row>
    <row r="35" spans="1:11" ht="45" customHeight="1" x14ac:dyDescent="0.2">
      <c r="A35" s="5" t="s">
        <v>271</v>
      </c>
      <c r="B35" s="6" t="s">
        <v>272</v>
      </c>
      <c r="C35" s="6" t="s">
        <v>285</v>
      </c>
      <c r="D35" s="7" t="s">
        <v>18</v>
      </c>
      <c r="E35" s="6" t="s">
        <v>286</v>
      </c>
      <c r="F35" s="5" t="s">
        <v>287</v>
      </c>
      <c r="G35" s="6" t="s">
        <v>288</v>
      </c>
      <c r="H35" s="6" t="s">
        <v>289</v>
      </c>
      <c r="I35" s="6" t="s">
        <v>290</v>
      </c>
      <c r="J35" s="6"/>
      <c r="K35" s="5"/>
    </row>
    <row r="36" spans="1:11" ht="45" customHeight="1" x14ac:dyDescent="0.2">
      <c r="A36" s="5" t="s">
        <v>271</v>
      </c>
      <c r="B36" s="6" t="s">
        <v>272</v>
      </c>
      <c r="C36" s="6" t="s">
        <v>291</v>
      </c>
      <c r="D36" s="9" t="s">
        <v>31</v>
      </c>
      <c r="E36" s="6" t="s">
        <v>292</v>
      </c>
      <c r="F36" s="5" t="s">
        <v>293</v>
      </c>
      <c r="G36" s="6" t="s">
        <v>294</v>
      </c>
      <c r="H36" s="6" t="s">
        <v>295</v>
      </c>
      <c r="I36" s="6" t="s">
        <v>296</v>
      </c>
      <c r="J36" s="6"/>
      <c r="K36" s="5"/>
    </row>
    <row r="37" spans="1:11" ht="45" customHeight="1" x14ac:dyDescent="0.2">
      <c r="A37" s="2" t="s">
        <v>297</v>
      </c>
      <c r="B37" s="3" t="s">
        <v>298</v>
      </c>
      <c r="C37" s="3" t="s">
        <v>299</v>
      </c>
      <c r="D37" s="4" t="s">
        <v>18</v>
      </c>
      <c r="E37" s="3" t="s">
        <v>300</v>
      </c>
      <c r="F37" s="2" t="s">
        <v>301</v>
      </c>
      <c r="G37" s="3" t="s">
        <v>302</v>
      </c>
      <c r="H37" s="3" t="s">
        <v>303</v>
      </c>
      <c r="I37" s="3" t="s">
        <v>304</v>
      </c>
      <c r="J37" s="3"/>
      <c r="K37" s="2"/>
    </row>
    <row r="38" spans="1:11" ht="45" customHeight="1" x14ac:dyDescent="0.2">
      <c r="A38" s="5" t="s">
        <v>297</v>
      </c>
      <c r="B38" s="6" t="s">
        <v>298</v>
      </c>
      <c r="C38" s="6" t="s">
        <v>305</v>
      </c>
      <c r="D38" s="7" t="s">
        <v>18</v>
      </c>
      <c r="E38" s="6" t="s">
        <v>306</v>
      </c>
      <c r="F38" s="5" t="s">
        <v>307</v>
      </c>
      <c r="G38" s="6" t="s">
        <v>308</v>
      </c>
      <c r="H38" s="6" t="s">
        <v>309</v>
      </c>
      <c r="I38" s="6" t="s">
        <v>310</v>
      </c>
      <c r="J38" s="6"/>
      <c r="K38" s="5"/>
    </row>
    <row r="39" spans="1:11" ht="45" customHeight="1" x14ac:dyDescent="0.2">
      <c r="A39" s="5" t="s">
        <v>297</v>
      </c>
      <c r="B39" s="6" t="s">
        <v>298</v>
      </c>
      <c r="C39" s="6" t="s">
        <v>311</v>
      </c>
      <c r="D39" s="7" t="s">
        <v>18</v>
      </c>
      <c r="E39" s="6" t="s">
        <v>312</v>
      </c>
      <c r="F39" s="5" t="s">
        <v>313</v>
      </c>
      <c r="G39" s="6" t="s">
        <v>314</v>
      </c>
      <c r="H39" s="6" t="s">
        <v>315</v>
      </c>
      <c r="I39" s="6" t="s">
        <v>316</v>
      </c>
      <c r="J39" s="6"/>
      <c r="K39" s="5"/>
    </row>
    <row r="40" spans="1:11" ht="45" customHeight="1" x14ac:dyDescent="0.2">
      <c r="A40" s="5" t="s">
        <v>297</v>
      </c>
      <c r="B40" s="6" t="s">
        <v>298</v>
      </c>
      <c r="C40" s="6" t="s">
        <v>317</v>
      </c>
      <c r="D40" s="9" t="s">
        <v>31</v>
      </c>
      <c r="E40" s="6" t="s">
        <v>318</v>
      </c>
      <c r="F40" s="5" t="s">
        <v>319</v>
      </c>
      <c r="G40" s="6" t="s">
        <v>320</v>
      </c>
      <c r="H40" s="6" t="s">
        <v>321</v>
      </c>
      <c r="I40" s="6" t="s">
        <v>322</v>
      </c>
      <c r="J40" s="6"/>
      <c r="K40" s="5"/>
    </row>
    <row r="41" spans="1:11" ht="45" customHeight="1" x14ac:dyDescent="0.2">
      <c r="A41" s="5" t="s">
        <v>297</v>
      </c>
      <c r="B41" s="6" t="s">
        <v>298</v>
      </c>
      <c r="C41" s="6" t="s">
        <v>323</v>
      </c>
      <c r="D41" s="7" t="s">
        <v>18</v>
      </c>
      <c r="E41" s="6" t="s">
        <v>324</v>
      </c>
      <c r="F41" s="5" t="s">
        <v>325</v>
      </c>
      <c r="G41" s="6" t="s">
        <v>326</v>
      </c>
      <c r="H41" s="6" t="s">
        <v>327</v>
      </c>
      <c r="I41" s="6" t="s">
        <v>328</v>
      </c>
      <c r="J41" s="6"/>
      <c r="K41" s="5"/>
    </row>
    <row r="42" spans="1:11" ht="51.75" customHeight="1" x14ac:dyDescent="0.2">
      <c r="A42" s="5" t="s">
        <v>297</v>
      </c>
      <c r="B42" s="6" t="s">
        <v>298</v>
      </c>
      <c r="C42" s="6" t="s">
        <v>329</v>
      </c>
      <c r="D42" s="7" t="s">
        <v>18</v>
      </c>
      <c r="E42" s="6" t="s">
        <v>330</v>
      </c>
      <c r="F42" s="5" t="s">
        <v>331</v>
      </c>
      <c r="G42" s="6" t="s">
        <v>332</v>
      </c>
      <c r="H42" s="6" t="s">
        <v>333</v>
      </c>
      <c r="I42" s="6" t="s">
        <v>334</v>
      </c>
      <c r="J42" s="6"/>
      <c r="K42" s="5"/>
    </row>
    <row r="43" spans="1:11" ht="45" customHeight="1" x14ac:dyDescent="0.2">
      <c r="A43" s="2" t="s">
        <v>335</v>
      </c>
      <c r="B43" s="3" t="s">
        <v>336</v>
      </c>
      <c r="C43" s="3" t="s">
        <v>337</v>
      </c>
      <c r="D43" s="4" t="s">
        <v>18</v>
      </c>
      <c r="E43" s="3" t="s">
        <v>338</v>
      </c>
      <c r="F43" s="2" t="s">
        <v>339</v>
      </c>
      <c r="G43" s="3" t="s">
        <v>340</v>
      </c>
      <c r="H43" s="3" t="s">
        <v>341</v>
      </c>
      <c r="I43" s="3" t="s">
        <v>342</v>
      </c>
      <c r="J43" s="3"/>
      <c r="K43" s="2"/>
    </row>
    <row r="44" spans="1:11" ht="45" customHeight="1" x14ac:dyDescent="0.2">
      <c r="A44" s="5" t="s">
        <v>335</v>
      </c>
      <c r="B44" s="6" t="s">
        <v>336</v>
      </c>
      <c r="C44" s="6" t="s">
        <v>343</v>
      </c>
      <c r="D44" s="7" t="s">
        <v>18</v>
      </c>
      <c r="E44" s="6" t="s">
        <v>344</v>
      </c>
      <c r="F44" s="5" t="s">
        <v>345</v>
      </c>
      <c r="G44" s="6" t="s">
        <v>346</v>
      </c>
      <c r="H44" s="6" t="s">
        <v>347</v>
      </c>
      <c r="I44" s="6" t="s">
        <v>348</v>
      </c>
      <c r="J44" s="6"/>
      <c r="K44" s="5"/>
    </row>
    <row r="45" spans="1:11" ht="45" customHeight="1" x14ac:dyDescent="0.2">
      <c r="A45" s="5" t="s">
        <v>335</v>
      </c>
      <c r="B45" s="6" t="s">
        <v>336</v>
      </c>
      <c r="C45" s="6" t="s">
        <v>349</v>
      </c>
      <c r="D45" s="7" t="s">
        <v>18</v>
      </c>
      <c r="E45" s="6" t="s">
        <v>292</v>
      </c>
      <c r="F45" s="5" t="s">
        <v>350</v>
      </c>
      <c r="G45" s="6" t="s">
        <v>351</v>
      </c>
      <c r="H45" s="6" t="s">
        <v>352</v>
      </c>
      <c r="I45" s="6" t="s">
        <v>353</v>
      </c>
      <c r="J45" s="6"/>
      <c r="K45" s="5"/>
    </row>
  </sheetData>
  <autoFilter ref="A1:K45" xr:uid="{00000000-0009-0000-0000-000002000000}"/>
  <dataValidations count="1">
    <dataValidation type="list" allowBlank="1" promptTitle="Hasil Pengujian" prompt="Pilih Ya bila fungsi berjalan sesuai Expected Result" sqref="K2:K45" xr:uid="{00000000-0002-0000-0200-000000000000}">
      <formula1>"Ya,Tidak"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26" customWidth="1"/>
    <col min="3" max="3" width="42" customWidth="1"/>
    <col min="4" max="4" width="14" customWidth="1"/>
    <col min="5" max="5" width="32" customWidth="1"/>
    <col min="6" max="6" width="14" customWidth="1"/>
    <col min="7" max="7" width="34" customWidth="1"/>
    <col min="8" max="9" width="52" customWidth="1"/>
    <col min="10" max="10" width="26" customWidth="1"/>
    <col min="11" max="11" width="13" customWidth="1"/>
  </cols>
  <sheetData>
    <row r="1" spans="1:11" ht="31.5" customHeight="1" x14ac:dyDescent="0.2">
      <c r="A1" s="1" t="s">
        <v>0</v>
      </c>
      <c r="B1" s="1" t="s">
        <v>1</v>
      </c>
      <c r="C1" s="1" t="s">
        <v>2</v>
      </c>
      <c r="D1" s="1" t="s">
        <v>13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14</v>
      </c>
    </row>
    <row r="2" spans="1:11" ht="64.5" customHeight="1" x14ac:dyDescent="0.2">
      <c r="A2" s="2" t="s">
        <v>354</v>
      </c>
      <c r="B2" s="3" t="s">
        <v>355</v>
      </c>
      <c r="C2" s="3" t="s">
        <v>356</v>
      </c>
      <c r="D2" s="4" t="s">
        <v>18</v>
      </c>
      <c r="E2" s="3" t="s">
        <v>357</v>
      </c>
      <c r="F2" s="2" t="s">
        <v>358</v>
      </c>
      <c r="G2" s="3" t="s">
        <v>359</v>
      </c>
      <c r="H2" s="3" t="s">
        <v>360</v>
      </c>
      <c r="I2" s="3" t="s">
        <v>361</v>
      </c>
      <c r="J2" s="3"/>
      <c r="K2" s="2"/>
    </row>
    <row r="3" spans="1:11" ht="51.75" customHeight="1" x14ac:dyDescent="0.2">
      <c r="A3" s="5" t="s">
        <v>354</v>
      </c>
      <c r="B3" s="6" t="s">
        <v>355</v>
      </c>
      <c r="C3" s="6" t="s">
        <v>362</v>
      </c>
      <c r="D3" s="7" t="s">
        <v>18</v>
      </c>
      <c r="E3" s="6" t="s">
        <v>363</v>
      </c>
      <c r="F3" s="5" t="s">
        <v>364</v>
      </c>
      <c r="G3" s="6" t="s">
        <v>365</v>
      </c>
      <c r="H3" s="6" t="s">
        <v>366</v>
      </c>
      <c r="I3" s="6" t="s">
        <v>367</v>
      </c>
      <c r="J3" s="6"/>
      <c r="K3" s="5"/>
    </row>
    <row r="4" spans="1:11" ht="51.75" customHeight="1" x14ac:dyDescent="0.2">
      <c r="A4" s="5" t="s">
        <v>354</v>
      </c>
      <c r="B4" s="6" t="s">
        <v>355</v>
      </c>
      <c r="C4" s="6" t="s">
        <v>368</v>
      </c>
      <c r="D4" s="9" t="s">
        <v>31</v>
      </c>
      <c r="E4" s="6" t="s">
        <v>363</v>
      </c>
      <c r="F4" s="5" t="s">
        <v>369</v>
      </c>
      <c r="G4" s="6" t="s">
        <v>370</v>
      </c>
      <c r="H4" s="6" t="s">
        <v>371</v>
      </c>
      <c r="I4" s="6" t="s">
        <v>372</v>
      </c>
      <c r="J4" s="6"/>
      <c r="K4" s="5"/>
    </row>
    <row r="5" spans="1:11" ht="45" customHeight="1" x14ac:dyDescent="0.2">
      <c r="A5" s="5" t="s">
        <v>354</v>
      </c>
      <c r="B5" s="6" t="s">
        <v>355</v>
      </c>
      <c r="C5" s="6" t="s">
        <v>373</v>
      </c>
      <c r="D5" s="7" t="s">
        <v>18</v>
      </c>
      <c r="E5" s="6" t="s">
        <v>374</v>
      </c>
      <c r="F5" s="5" t="s">
        <v>375</v>
      </c>
      <c r="G5" s="6" t="s">
        <v>376</v>
      </c>
      <c r="H5" s="6" t="s">
        <v>377</v>
      </c>
      <c r="I5" s="6" t="s">
        <v>378</v>
      </c>
      <c r="J5" s="6"/>
      <c r="K5" s="5"/>
    </row>
    <row r="6" spans="1:11" ht="45" customHeight="1" x14ac:dyDescent="0.2">
      <c r="A6" s="5" t="s">
        <v>354</v>
      </c>
      <c r="B6" s="6" t="s">
        <v>355</v>
      </c>
      <c r="C6" s="6" t="s">
        <v>379</v>
      </c>
      <c r="D6" s="9" t="s">
        <v>31</v>
      </c>
      <c r="E6" s="6" t="s">
        <v>380</v>
      </c>
      <c r="F6" s="5" t="s">
        <v>381</v>
      </c>
      <c r="G6" s="6" t="s">
        <v>382</v>
      </c>
      <c r="H6" s="6" t="s">
        <v>383</v>
      </c>
      <c r="I6" s="6" t="s">
        <v>384</v>
      </c>
      <c r="J6" s="6"/>
      <c r="K6" s="5"/>
    </row>
    <row r="7" spans="1:11" ht="64.5" customHeight="1" x14ac:dyDescent="0.2">
      <c r="A7" s="2" t="s">
        <v>385</v>
      </c>
      <c r="B7" s="3" t="s">
        <v>386</v>
      </c>
      <c r="C7" s="3" t="s">
        <v>387</v>
      </c>
      <c r="D7" s="4" t="s">
        <v>18</v>
      </c>
      <c r="E7" s="3" t="s">
        <v>388</v>
      </c>
      <c r="F7" s="2" t="s">
        <v>389</v>
      </c>
      <c r="G7" s="3" t="s">
        <v>390</v>
      </c>
      <c r="H7" s="3" t="s">
        <v>391</v>
      </c>
      <c r="I7" s="3" t="s">
        <v>392</v>
      </c>
      <c r="J7" s="3"/>
      <c r="K7" s="2"/>
    </row>
    <row r="8" spans="1:11" ht="45" customHeight="1" x14ac:dyDescent="0.2">
      <c r="A8" s="5" t="s">
        <v>385</v>
      </c>
      <c r="B8" s="6" t="s">
        <v>386</v>
      </c>
      <c r="C8" s="6" t="s">
        <v>393</v>
      </c>
      <c r="D8" s="7" t="s">
        <v>18</v>
      </c>
      <c r="E8" s="6" t="s">
        <v>394</v>
      </c>
      <c r="F8" s="5" t="s">
        <v>395</v>
      </c>
      <c r="G8" s="6" t="s">
        <v>396</v>
      </c>
      <c r="H8" s="6" t="s">
        <v>397</v>
      </c>
      <c r="I8" s="6" t="s">
        <v>398</v>
      </c>
      <c r="J8" s="6"/>
      <c r="K8" s="5"/>
    </row>
    <row r="9" spans="1:11" ht="64.5" customHeight="1" x14ac:dyDescent="0.2">
      <c r="A9" s="2" t="s">
        <v>399</v>
      </c>
      <c r="B9" s="3" t="s">
        <v>400</v>
      </c>
      <c r="C9" s="3" t="s">
        <v>401</v>
      </c>
      <c r="D9" s="4" t="s">
        <v>18</v>
      </c>
      <c r="E9" s="3" t="s">
        <v>402</v>
      </c>
      <c r="F9" s="2" t="s">
        <v>403</v>
      </c>
      <c r="G9" s="3" t="s">
        <v>404</v>
      </c>
      <c r="H9" s="3" t="s">
        <v>405</v>
      </c>
      <c r="I9" s="3" t="s">
        <v>406</v>
      </c>
      <c r="J9" s="3"/>
      <c r="K9" s="2"/>
    </row>
    <row r="10" spans="1:11" ht="51.75" customHeight="1" x14ac:dyDescent="0.2">
      <c r="A10" s="5" t="s">
        <v>399</v>
      </c>
      <c r="B10" s="6" t="s">
        <v>400</v>
      </c>
      <c r="C10" s="6" t="s">
        <v>407</v>
      </c>
      <c r="D10" s="9" t="s">
        <v>31</v>
      </c>
      <c r="E10" s="6" t="s">
        <v>408</v>
      </c>
      <c r="F10" s="5" t="s">
        <v>409</v>
      </c>
      <c r="G10" s="6" t="s">
        <v>410</v>
      </c>
      <c r="H10" s="6" t="s">
        <v>411</v>
      </c>
      <c r="I10" s="6" t="s">
        <v>412</v>
      </c>
      <c r="J10" s="6"/>
      <c r="K10" s="5"/>
    </row>
    <row r="11" spans="1:11" ht="51.75" customHeight="1" x14ac:dyDescent="0.2">
      <c r="A11" s="2" t="s">
        <v>413</v>
      </c>
      <c r="B11" s="3" t="s">
        <v>414</v>
      </c>
      <c r="C11" s="3" t="s">
        <v>415</v>
      </c>
      <c r="D11" s="4" t="s">
        <v>18</v>
      </c>
      <c r="E11" s="3" t="s">
        <v>416</v>
      </c>
      <c r="F11" s="2" t="s">
        <v>417</v>
      </c>
      <c r="G11" s="3" t="s">
        <v>418</v>
      </c>
      <c r="H11" s="3" t="s">
        <v>419</v>
      </c>
      <c r="I11" s="3" t="s">
        <v>420</v>
      </c>
      <c r="J11" s="3"/>
      <c r="K11" s="2"/>
    </row>
    <row r="12" spans="1:11" ht="45" customHeight="1" x14ac:dyDescent="0.2">
      <c r="A12" s="5" t="s">
        <v>413</v>
      </c>
      <c r="B12" s="6" t="s">
        <v>414</v>
      </c>
      <c r="C12" s="6" t="s">
        <v>421</v>
      </c>
      <c r="D12" s="9" t="s">
        <v>31</v>
      </c>
      <c r="E12" s="6" t="s">
        <v>422</v>
      </c>
      <c r="F12" s="5" t="s">
        <v>423</v>
      </c>
      <c r="G12" s="6" t="s">
        <v>424</v>
      </c>
      <c r="H12" s="6" t="s">
        <v>425</v>
      </c>
      <c r="I12" s="6" t="s">
        <v>426</v>
      </c>
      <c r="J12" s="6"/>
      <c r="K12" s="5"/>
    </row>
    <row r="13" spans="1:11" ht="45" customHeight="1" x14ac:dyDescent="0.2">
      <c r="A13" s="2" t="s">
        <v>427</v>
      </c>
      <c r="B13" s="3" t="s">
        <v>428</v>
      </c>
      <c r="C13" s="3" t="s">
        <v>429</v>
      </c>
      <c r="D13" s="4" t="s">
        <v>18</v>
      </c>
      <c r="E13" s="3" t="s">
        <v>430</v>
      </c>
      <c r="F13" s="2" t="s">
        <v>431</v>
      </c>
      <c r="G13" s="3" t="s">
        <v>432</v>
      </c>
      <c r="H13" s="3" t="s">
        <v>433</v>
      </c>
      <c r="I13" s="3" t="s">
        <v>434</v>
      </c>
      <c r="J13" s="3"/>
      <c r="K13" s="2"/>
    </row>
  </sheetData>
  <autoFilter ref="A1:K13" xr:uid="{00000000-0009-0000-0000-000003000000}"/>
  <dataValidations count="1">
    <dataValidation type="list" allowBlank="1" promptTitle="Hasil Pengujian" prompt="Pilih Ya bila fungsi berjalan sesuai Expected Result" sqref="K2:K13" xr:uid="{00000000-0002-0000-0300-000000000000}">
      <formula1>"Ya,Tidak"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26" customWidth="1"/>
    <col min="3" max="3" width="42" customWidth="1"/>
    <col min="4" max="4" width="14" customWidth="1"/>
    <col min="5" max="5" width="32" customWidth="1"/>
    <col min="6" max="6" width="14" customWidth="1"/>
    <col min="7" max="7" width="34" customWidth="1"/>
    <col min="8" max="9" width="52" customWidth="1"/>
    <col min="10" max="10" width="26" customWidth="1"/>
    <col min="11" max="11" width="13" customWidth="1"/>
  </cols>
  <sheetData>
    <row r="1" spans="1:11" ht="31.5" customHeight="1" x14ac:dyDescent="0.2">
      <c r="A1" s="1" t="s">
        <v>0</v>
      </c>
      <c r="B1" s="1" t="s">
        <v>1</v>
      </c>
      <c r="C1" s="1" t="s">
        <v>2</v>
      </c>
      <c r="D1" s="1" t="s">
        <v>13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14</v>
      </c>
    </row>
    <row r="2" spans="1:11" ht="64.5" customHeight="1" x14ac:dyDescent="0.2">
      <c r="A2" s="2" t="s">
        <v>435</v>
      </c>
      <c r="B2" s="3" t="s">
        <v>436</v>
      </c>
      <c r="C2" s="3" t="s">
        <v>437</v>
      </c>
      <c r="D2" s="4" t="s">
        <v>18</v>
      </c>
      <c r="E2" s="3" t="s">
        <v>438</v>
      </c>
      <c r="F2" s="2" t="s">
        <v>439</v>
      </c>
      <c r="G2" s="3" t="s">
        <v>440</v>
      </c>
      <c r="H2" s="3" t="s">
        <v>441</v>
      </c>
      <c r="I2" s="3" t="s">
        <v>442</v>
      </c>
      <c r="J2" s="3"/>
      <c r="K2" s="2"/>
    </row>
    <row r="3" spans="1:11" ht="51.75" customHeight="1" x14ac:dyDescent="0.2">
      <c r="A3" s="5" t="s">
        <v>435</v>
      </c>
      <c r="B3" s="6" t="s">
        <v>436</v>
      </c>
      <c r="C3" s="6" t="s">
        <v>443</v>
      </c>
      <c r="D3" s="7" t="s">
        <v>18</v>
      </c>
      <c r="E3" s="6" t="s">
        <v>444</v>
      </c>
      <c r="F3" s="5" t="s">
        <v>445</v>
      </c>
      <c r="G3" s="6" t="s">
        <v>446</v>
      </c>
      <c r="H3" s="6" t="s">
        <v>447</v>
      </c>
      <c r="I3" s="6" t="s">
        <v>448</v>
      </c>
      <c r="J3" s="6"/>
      <c r="K3" s="5"/>
    </row>
    <row r="4" spans="1:11" ht="51.75" customHeight="1" x14ac:dyDescent="0.2">
      <c r="A4" s="5" t="s">
        <v>435</v>
      </c>
      <c r="B4" s="6" t="s">
        <v>436</v>
      </c>
      <c r="C4" s="6" t="s">
        <v>449</v>
      </c>
      <c r="D4" s="7" t="s">
        <v>18</v>
      </c>
      <c r="E4" s="6" t="s">
        <v>450</v>
      </c>
      <c r="F4" s="5" t="s">
        <v>451</v>
      </c>
      <c r="G4" s="6" t="s">
        <v>452</v>
      </c>
      <c r="H4" s="6" t="s">
        <v>453</v>
      </c>
      <c r="I4" s="6" t="s">
        <v>454</v>
      </c>
      <c r="J4" s="6"/>
      <c r="K4" s="5"/>
    </row>
    <row r="5" spans="1:11" ht="45" customHeight="1" x14ac:dyDescent="0.2">
      <c r="A5" s="5" t="s">
        <v>435</v>
      </c>
      <c r="B5" s="6" t="s">
        <v>436</v>
      </c>
      <c r="C5" s="6" t="s">
        <v>455</v>
      </c>
      <c r="D5" s="9" t="s">
        <v>31</v>
      </c>
      <c r="E5" s="6" t="s">
        <v>450</v>
      </c>
      <c r="F5" s="5" t="s">
        <v>456</v>
      </c>
      <c r="G5" s="6" t="s">
        <v>457</v>
      </c>
      <c r="H5" s="6" t="s">
        <v>458</v>
      </c>
      <c r="I5" s="6" t="s">
        <v>372</v>
      </c>
      <c r="J5" s="6"/>
      <c r="K5" s="5"/>
    </row>
    <row r="6" spans="1:11" ht="51.75" customHeight="1" x14ac:dyDescent="0.2">
      <c r="A6" s="2" t="s">
        <v>459</v>
      </c>
      <c r="B6" s="3" t="s">
        <v>460</v>
      </c>
      <c r="C6" s="3" t="s">
        <v>461</v>
      </c>
      <c r="D6" s="4" t="s">
        <v>18</v>
      </c>
      <c r="E6" s="3" t="s">
        <v>462</v>
      </c>
      <c r="F6" s="2" t="s">
        <v>463</v>
      </c>
      <c r="G6" s="3" t="s">
        <v>464</v>
      </c>
      <c r="H6" s="3" t="s">
        <v>465</v>
      </c>
      <c r="I6" s="3" t="s">
        <v>466</v>
      </c>
      <c r="J6" s="3"/>
      <c r="K6" s="2"/>
    </row>
    <row r="7" spans="1:11" ht="51.75" customHeight="1" x14ac:dyDescent="0.2">
      <c r="A7" s="5" t="s">
        <v>459</v>
      </c>
      <c r="B7" s="6" t="s">
        <v>460</v>
      </c>
      <c r="C7" s="6" t="s">
        <v>467</v>
      </c>
      <c r="D7" s="7" t="s">
        <v>18</v>
      </c>
      <c r="E7" s="6" t="s">
        <v>468</v>
      </c>
      <c r="F7" s="5" t="s">
        <v>469</v>
      </c>
      <c r="G7" s="6" t="s">
        <v>470</v>
      </c>
      <c r="H7" s="6" t="s">
        <v>471</v>
      </c>
      <c r="I7" s="6" t="s">
        <v>472</v>
      </c>
      <c r="J7" s="6"/>
      <c r="K7" s="5"/>
    </row>
    <row r="8" spans="1:11" ht="45" customHeight="1" x14ac:dyDescent="0.2">
      <c r="A8" s="5" t="s">
        <v>459</v>
      </c>
      <c r="B8" s="6" t="s">
        <v>460</v>
      </c>
      <c r="C8" s="6" t="s">
        <v>473</v>
      </c>
      <c r="D8" s="7" t="s">
        <v>18</v>
      </c>
      <c r="E8" s="6" t="s">
        <v>468</v>
      </c>
      <c r="F8" s="5" t="s">
        <v>474</v>
      </c>
      <c r="G8" s="6" t="s">
        <v>475</v>
      </c>
      <c r="H8" s="6" t="s">
        <v>476</v>
      </c>
      <c r="I8" s="6" t="s">
        <v>477</v>
      </c>
      <c r="J8" s="6"/>
      <c r="K8" s="5"/>
    </row>
    <row r="9" spans="1:11" ht="45" customHeight="1" x14ac:dyDescent="0.2">
      <c r="A9" s="5" t="s">
        <v>459</v>
      </c>
      <c r="B9" s="6" t="s">
        <v>460</v>
      </c>
      <c r="C9" s="6" t="s">
        <v>478</v>
      </c>
      <c r="D9" s="9" t="s">
        <v>31</v>
      </c>
      <c r="E9" s="6" t="s">
        <v>462</v>
      </c>
      <c r="F9" s="5" t="s">
        <v>479</v>
      </c>
      <c r="G9" s="6" t="s">
        <v>480</v>
      </c>
      <c r="H9" s="6" t="s">
        <v>481</v>
      </c>
      <c r="I9" s="6" t="s">
        <v>482</v>
      </c>
      <c r="J9" s="6"/>
      <c r="K9" s="5"/>
    </row>
    <row r="10" spans="1:11" ht="45" customHeight="1" x14ac:dyDescent="0.2">
      <c r="A10" s="2" t="s">
        <v>483</v>
      </c>
      <c r="B10" s="3" t="s">
        <v>484</v>
      </c>
      <c r="C10" s="3" t="s">
        <v>485</v>
      </c>
      <c r="D10" s="4" t="s">
        <v>18</v>
      </c>
      <c r="E10" s="3" t="s">
        <v>486</v>
      </c>
      <c r="F10" s="2" t="s">
        <v>487</v>
      </c>
      <c r="G10" s="3" t="s">
        <v>488</v>
      </c>
      <c r="H10" s="3" t="s">
        <v>489</v>
      </c>
      <c r="I10" s="3" t="s">
        <v>490</v>
      </c>
      <c r="J10" s="3"/>
      <c r="K10" s="2"/>
    </row>
    <row r="11" spans="1:11" ht="45" customHeight="1" x14ac:dyDescent="0.2">
      <c r="A11" s="5" t="s">
        <v>483</v>
      </c>
      <c r="B11" s="6" t="s">
        <v>484</v>
      </c>
      <c r="C11" s="6" t="s">
        <v>491</v>
      </c>
      <c r="D11" s="7" t="s">
        <v>18</v>
      </c>
      <c r="E11" s="6" t="s">
        <v>492</v>
      </c>
      <c r="F11" s="5" t="s">
        <v>493</v>
      </c>
      <c r="G11" s="6" t="s">
        <v>494</v>
      </c>
      <c r="H11" s="6" t="s">
        <v>495</v>
      </c>
      <c r="I11" s="6" t="s">
        <v>496</v>
      </c>
      <c r="J11" s="6"/>
      <c r="K11" s="5"/>
    </row>
    <row r="12" spans="1:11" ht="45" customHeight="1" x14ac:dyDescent="0.2">
      <c r="A12" s="5" t="s">
        <v>483</v>
      </c>
      <c r="B12" s="6" t="s">
        <v>484</v>
      </c>
      <c r="C12" s="6" t="s">
        <v>497</v>
      </c>
      <c r="D12" s="7" t="s">
        <v>18</v>
      </c>
      <c r="E12" s="6" t="s">
        <v>498</v>
      </c>
      <c r="F12" s="5" t="s">
        <v>499</v>
      </c>
      <c r="G12" s="6" t="s">
        <v>500</v>
      </c>
      <c r="H12" s="6" t="s">
        <v>501</v>
      </c>
      <c r="I12" s="6" t="s">
        <v>502</v>
      </c>
      <c r="J12" s="6"/>
      <c r="K12" s="5"/>
    </row>
    <row r="13" spans="1:11" ht="45" customHeight="1" x14ac:dyDescent="0.2">
      <c r="A13" s="2" t="s">
        <v>503</v>
      </c>
      <c r="B13" s="3" t="s">
        <v>504</v>
      </c>
      <c r="C13" s="3" t="s">
        <v>505</v>
      </c>
      <c r="D13" s="4" t="s">
        <v>18</v>
      </c>
      <c r="E13" s="3" t="s">
        <v>462</v>
      </c>
      <c r="F13" s="2" t="s">
        <v>506</v>
      </c>
      <c r="G13" s="3" t="s">
        <v>507</v>
      </c>
      <c r="H13" s="3" t="s">
        <v>508</v>
      </c>
      <c r="I13" s="3" t="s">
        <v>509</v>
      </c>
      <c r="J13" s="3"/>
      <c r="K13" s="2"/>
    </row>
    <row r="14" spans="1:11" ht="45" customHeight="1" x14ac:dyDescent="0.2">
      <c r="A14" s="5" t="s">
        <v>503</v>
      </c>
      <c r="B14" s="6" t="s">
        <v>504</v>
      </c>
      <c r="C14" s="6" t="s">
        <v>510</v>
      </c>
      <c r="D14" s="7" t="s">
        <v>18</v>
      </c>
      <c r="E14" s="6" t="s">
        <v>511</v>
      </c>
      <c r="F14" s="5" t="s">
        <v>512</v>
      </c>
      <c r="G14" s="6" t="s">
        <v>513</v>
      </c>
      <c r="H14" s="6" t="s">
        <v>514</v>
      </c>
      <c r="I14" s="6" t="s">
        <v>515</v>
      </c>
      <c r="J14" s="6"/>
      <c r="K14" s="5"/>
    </row>
    <row r="15" spans="1:11" ht="45" customHeight="1" x14ac:dyDescent="0.2">
      <c r="A15" s="2" t="s">
        <v>516</v>
      </c>
      <c r="B15" s="3" t="s">
        <v>517</v>
      </c>
      <c r="C15" s="3" t="s">
        <v>518</v>
      </c>
      <c r="D15" s="4" t="s">
        <v>18</v>
      </c>
      <c r="E15" s="3" t="s">
        <v>462</v>
      </c>
      <c r="F15" s="2" t="s">
        <v>519</v>
      </c>
      <c r="G15" s="3" t="s">
        <v>520</v>
      </c>
      <c r="H15" s="3" t="s">
        <v>521</v>
      </c>
      <c r="I15" s="3" t="s">
        <v>522</v>
      </c>
      <c r="J15" s="3"/>
      <c r="K15" s="2"/>
    </row>
  </sheetData>
  <autoFilter ref="A1:K15" xr:uid="{00000000-0009-0000-0000-000004000000}"/>
  <dataValidations count="1">
    <dataValidation type="list" allowBlank="1" promptTitle="Hasil Pengujian" prompt="Pilih Ya bila fungsi berjalan sesuai Expected Result" sqref="K2:K15" xr:uid="{00000000-0002-0000-0400-000000000000}">
      <formula1>"Ya,Tidak"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26" customWidth="1"/>
    <col min="3" max="3" width="42" customWidth="1"/>
    <col min="4" max="4" width="14" customWidth="1"/>
    <col min="5" max="5" width="32" customWidth="1"/>
    <col min="6" max="6" width="14" customWidth="1"/>
    <col min="7" max="7" width="34" customWidth="1"/>
    <col min="8" max="9" width="52" customWidth="1"/>
    <col min="10" max="10" width="26" customWidth="1"/>
    <col min="11" max="11" width="13" customWidth="1"/>
  </cols>
  <sheetData>
    <row r="1" spans="1:11" ht="31.5" customHeight="1" x14ac:dyDescent="0.2">
      <c r="A1" s="1" t="s">
        <v>0</v>
      </c>
      <c r="B1" s="1" t="s">
        <v>1</v>
      </c>
      <c r="C1" s="1" t="s">
        <v>2</v>
      </c>
      <c r="D1" s="1" t="s">
        <v>13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14</v>
      </c>
    </row>
    <row r="2" spans="1:11" ht="64.5" customHeight="1" x14ac:dyDescent="0.2">
      <c r="A2" s="2" t="s">
        <v>523</v>
      </c>
      <c r="B2" s="3" t="s">
        <v>524</v>
      </c>
      <c r="C2" s="3" t="s">
        <v>525</v>
      </c>
      <c r="D2" s="4" t="s">
        <v>18</v>
      </c>
      <c r="E2" s="3" t="s">
        <v>526</v>
      </c>
      <c r="F2" s="2" t="s">
        <v>527</v>
      </c>
      <c r="G2" s="3" t="s">
        <v>528</v>
      </c>
      <c r="H2" s="3" t="s">
        <v>529</v>
      </c>
      <c r="I2" s="3" t="s">
        <v>530</v>
      </c>
      <c r="J2" s="3"/>
      <c r="K2" s="2"/>
    </row>
    <row r="3" spans="1:11" ht="51.75" customHeight="1" x14ac:dyDescent="0.2">
      <c r="A3" s="5" t="s">
        <v>523</v>
      </c>
      <c r="B3" s="6" t="s">
        <v>524</v>
      </c>
      <c r="C3" s="6" t="s">
        <v>531</v>
      </c>
      <c r="D3" s="7" t="s">
        <v>18</v>
      </c>
      <c r="E3" s="6" t="s">
        <v>532</v>
      </c>
      <c r="F3" s="5" t="s">
        <v>533</v>
      </c>
      <c r="G3" s="6" t="s">
        <v>534</v>
      </c>
      <c r="H3" s="6" t="s">
        <v>535</v>
      </c>
      <c r="I3" s="6" t="s">
        <v>536</v>
      </c>
      <c r="J3" s="6"/>
      <c r="K3" s="5"/>
    </row>
    <row r="4" spans="1:11" ht="45" customHeight="1" x14ac:dyDescent="0.2">
      <c r="A4" s="5" t="s">
        <v>523</v>
      </c>
      <c r="B4" s="6" t="s">
        <v>524</v>
      </c>
      <c r="C4" s="6" t="s">
        <v>537</v>
      </c>
      <c r="D4" s="9" t="s">
        <v>31</v>
      </c>
      <c r="E4" s="6" t="s">
        <v>532</v>
      </c>
      <c r="F4" s="5" t="s">
        <v>538</v>
      </c>
      <c r="G4" s="6" t="s">
        <v>539</v>
      </c>
      <c r="H4" s="6" t="s">
        <v>540</v>
      </c>
      <c r="I4" s="6" t="s">
        <v>541</v>
      </c>
      <c r="J4" s="6"/>
      <c r="K4" s="5"/>
    </row>
    <row r="5" spans="1:11" ht="45" customHeight="1" x14ac:dyDescent="0.2">
      <c r="A5" s="5" t="s">
        <v>523</v>
      </c>
      <c r="B5" s="6" t="s">
        <v>524</v>
      </c>
      <c r="C5" s="6" t="s">
        <v>542</v>
      </c>
      <c r="D5" s="9" t="s">
        <v>31</v>
      </c>
      <c r="E5" s="6" t="s">
        <v>543</v>
      </c>
      <c r="F5" s="5" t="s">
        <v>544</v>
      </c>
      <c r="G5" s="6" t="s">
        <v>545</v>
      </c>
      <c r="H5" s="6" t="s">
        <v>546</v>
      </c>
      <c r="I5" s="6" t="s">
        <v>547</v>
      </c>
      <c r="J5" s="6"/>
      <c r="K5" s="5"/>
    </row>
    <row r="6" spans="1:11" ht="45" customHeight="1" x14ac:dyDescent="0.2">
      <c r="A6" s="5" t="s">
        <v>523</v>
      </c>
      <c r="B6" s="6" t="s">
        <v>524</v>
      </c>
      <c r="C6" s="6" t="s">
        <v>548</v>
      </c>
      <c r="D6" s="7" t="s">
        <v>18</v>
      </c>
      <c r="E6" s="6" t="s">
        <v>549</v>
      </c>
      <c r="F6" s="5" t="s">
        <v>550</v>
      </c>
      <c r="G6" s="6" t="s">
        <v>551</v>
      </c>
      <c r="H6" s="6" t="s">
        <v>552</v>
      </c>
      <c r="I6" s="6" t="s">
        <v>553</v>
      </c>
      <c r="J6" s="6"/>
      <c r="K6" s="5"/>
    </row>
    <row r="7" spans="1:11" ht="51.75" customHeight="1" x14ac:dyDescent="0.2">
      <c r="A7" s="2" t="s">
        <v>554</v>
      </c>
      <c r="B7" s="3" t="s">
        <v>555</v>
      </c>
      <c r="C7" s="3" t="s">
        <v>556</v>
      </c>
      <c r="D7" s="4" t="s">
        <v>18</v>
      </c>
      <c r="E7" s="3" t="s">
        <v>557</v>
      </c>
      <c r="F7" s="2" t="s">
        <v>558</v>
      </c>
      <c r="G7" s="3" t="s">
        <v>559</v>
      </c>
      <c r="H7" s="3" t="s">
        <v>560</v>
      </c>
      <c r="I7" s="3" t="s">
        <v>561</v>
      </c>
      <c r="J7" s="3"/>
      <c r="K7" s="2"/>
    </row>
    <row r="8" spans="1:11" ht="45" customHeight="1" x14ac:dyDescent="0.2">
      <c r="A8" s="5" t="s">
        <v>554</v>
      </c>
      <c r="B8" s="6" t="s">
        <v>555</v>
      </c>
      <c r="C8" s="6" t="s">
        <v>562</v>
      </c>
      <c r="D8" s="9" t="s">
        <v>31</v>
      </c>
      <c r="E8" s="6" t="s">
        <v>563</v>
      </c>
      <c r="F8" s="5" t="s">
        <v>564</v>
      </c>
      <c r="G8" s="6" t="s">
        <v>565</v>
      </c>
      <c r="H8" s="6" t="s">
        <v>566</v>
      </c>
      <c r="I8" s="6" t="s">
        <v>567</v>
      </c>
      <c r="J8" s="6"/>
      <c r="K8" s="5"/>
    </row>
    <row r="9" spans="1:11" ht="45" customHeight="1" x14ac:dyDescent="0.2">
      <c r="A9" s="5" t="s">
        <v>554</v>
      </c>
      <c r="B9" s="6" t="s">
        <v>555</v>
      </c>
      <c r="C9" s="6" t="s">
        <v>568</v>
      </c>
      <c r="D9" s="7" t="s">
        <v>18</v>
      </c>
      <c r="E9" s="6" t="s">
        <v>569</v>
      </c>
      <c r="F9" s="5" t="s">
        <v>570</v>
      </c>
      <c r="G9" s="6" t="s">
        <v>571</v>
      </c>
      <c r="H9" s="6" t="s">
        <v>572</v>
      </c>
      <c r="I9" s="6" t="s">
        <v>573</v>
      </c>
      <c r="J9" s="6"/>
      <c r="K9" s="5"/>
    </row>
    <row r="10" spans="1:11" ht="45" customHeight="1" x14ac:dyDescent="0.2">
      <c r="A10" s="2" t="s">
        <v>574</v>
      </c>
      <c r="B10" s="3" t="s">
        <v>575</v>
      </c>
      <c r="C10" s="3" t="s">
        <v>576</v>
      </c>
      <c r="D10" s="4" t="s">
        <v>18</v>
      </c>
      <c r="E10" s="3" t="s">
        <v>577</v>
      </c>
      <c r="F10" s="2" t="s">
        <v>578</v>
      </c>
      <c r="G10" s="3" t="s">
        <v>579</v>
      </c>
      <c r="H10" s="3" t="s">
        <v>580</v>
      </c>
      <c r="I10" s="3" t="s">
        <v>581</v>
      </c>
      <c r="J10" s="3"/>
      <c r="K10" s="2"/>
    </row>
  </sheetData>
  <autoFilter ref="A1:K10" xr:uid="{00000000-0009-0000-0000-000005000000}"/>
  <dataValidations count="1">
    <dataValidation type="list" allowBlank="1" promptTitle="Hasil Pengujian" prompt="Pilih Ya bila fungsi berjalan sesuai Expected Result" sqref="K2:K10" xr:uid="{00000000-0002-0000-0500-000000000000}">
      <formula1>"Ya,Tidak"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"/>
  <sheetViews>
    <sheetView topLeftCell="H1" zoomScaleNormal="100" workbookViewId="0">
      <pane ySplit="1" topLeftCell="A2" activePane="bottomLeft" state="frozen"/>
      <selection pane="bottomLeft" activeCell="K2" sqref="K2"/>
    </sheetView>
  </sheetViews>
  <sheetFormatPr baseColWidth="10" defaultColWidth="8.6640625" defaultRowHeight="15" x14ac:dyDescent="0.2"/>
  <cols>
    <col min="1" max="1" width="12" customWidth="1"/>
    <col min="2" max="2" width="26" customWidth="1"/>
    <col min="3" max="3" width="42" customWidth="1"/>
    <col min="4" max="4" width="14" customWidth="1"/>
    <col min="5" max="5" width="32" customWidth="1"/>
    <col min="6" max="6" width="14" customWidth="1"/>
    <col min="7" max="7" width="34" customWidth="1"/>
    <col min="8" max="9" width="52" customWidth="1"/>
    <col min="10" max="10" width="26" customWidth="1"/>
    <col min="11" max="11" width="13" customWidth="1"/>
  </cols>
  <sheetData>
    <row r="1" spans="1:11" ht="31.5" customHeight="1" x14ac:dyDescent="0.2">
      <c r="A1" s="1" t="s">
        <v>0</v>
      </c>
      <c r="B1" s="1" t="s">
        <v>1</v>
      </c>
      <c r="C1" s="1" t="s">
        <v>2</v>
      </c>
      <c r="D1" s="1" t="s">
        <v>13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14</v>
      </c>
    </row>
    <row r="2" spans="1:11" ht="45" customHeight="1" x14ac:dyDescent="0.2">
      <c r="A2" s="2" t="s">
        <v>582</v>
      </c>
      <c r="B2" s="3" t="s">
        <v>583</v>
      </c>
      <c r="C2" s="3" t="s">
        <v>584</v>
      </c>
      <c r="D2" s="4" t="s">
        <v>18</v>
      </c>
      <c r="E2" s="3" t="s">
        <v>585</v>
      </c>
      <c r="F2" s="2" t="s">
        <v>586</v>
      </c>
      <c r="G2" s="3" t="s">
        <v>587</v>
      </c>
      <c r="H2" s="3" t="s">
        <v>588</v>
      </c>
      <c r="I2" s="3" t="s">
        <v>589</v>
      </c>
      <c r="J2" s="3"/>
      <c r="K2" s="2"/>
    </row>
    <row r="3" spans="1:11" ht="51.75" customHeight="1" x14ac:dyDescent="0.2">
      <c r="A3" s="5" t="s">
        <v>582</v>
      </c>
      <c r="B3" s="6" t="s">
        <v>583</v>
      </c>
      <c r="C3" s="6" t="s">
        <v>590</v>
      </c>
      <c r="D3" s="7" t="s">
        <v>18</v>
      </c>
      <c r="E3" s="6" t="s">
        <v>591</v>
      </c>
      <c r="F3" s="5" t="s">
        <v>592</v>
      </c>
      <c r="G3" s="6" t="s">
        <v>593</v>
      </c>
      <c r="H3" s="6" t="s">
        <v>594</v>
      </c>
      <c r="I3" s="6" t="s">
        <v>595</v>
      </c>
      <c r="J3" s="6"/>
      <c r="K3" s="5"/>
    </row>
    <row r="4" spans="1:11" ht="51.75" customHeight="1" x14ac:dyDescent="0.2">
      <c r="A4" s="5" t="s">
        <v>582</v>
      </c>
      <c r="B4" s="6" t="s">
        <v>583</v>
      </c>
      <c r="C4" s="6" t="s">
        <v>596</v>
      </c>
      <c r="D4" s="7" t="s">
        <v>18</v>
      </c>
      <c r="E4" s="6" t="s">
        <v>597</v>
      </c>
      <c r="F4" s="5" t="s">
        <v>598</v>
      </c>
      <c r="G4" s="6" t="s">
        <v>599</v>
      </c>
      <c r="H4" s="6" t="s">
        <v>600</v>
      </c>
      <c r="I4" s="6" t="s">
        <v>601</v>
      </c>
      <c r="J4" s="6"/>
      <c r="K4" s="5"/>
    </row>
    <row r="5" spans="1:11" ht="45" customHeight="1" x14ac:dyDescent="0.2">
      <c r="A5" s="5" t="s">
        <v>582</v>
      </c>
      <c r="B5" s="6" t="s">
        <v>583</v>
      </c>
      <c r="C5" s="6" t="s">
        <v>602</v>
      </c>
      <c r="D5" s="9" t="s">
        <v>31</v>
      </c>
      <c r="E5" s="6" t="s">
        <v>603</v>
      </c>
      <c r="F5" s="5" t="s">
        <v>604</v>
      </c>
      <c r="G5" s="6" t="s">
        <v>605</v>
      </c>
      <c r="H5" s="6" t="s">
        <v>606</v>
      </c>
      <c r="I5" s="6" t="s">
        <v>607</v>
      </c>
      <c r="J5" s="6"/>
      <c r="K5" s="5"/>
    </row>
    <row r="6" spans="1:11" ht="64.5" customHeight="1" x14ac:dyDescent="0.2">
      <c r="A6" s="2" t="s">
        <v>608</v>
      </c>
      <c r="B6" s="3" t="s">
        <v>609</v>
      </c>
      <c r="C6" s="3" t="s">
        <v>610</v>
      </c>
      <c r="D6" s="4" t="s">
        <v>18</v>
      </c>
      <c r="E6" s="3" t="s">
        <v>611</v>
      </c>
      <c r="F6" s="2" t="s">
        <v>612</v>
      </c>
      <c r="G6" s="3" t="s">
        <v>613</v>
      </c>
      <c r="H6" s="3" t="s">
        <v>614</v>
      </c>
      <c r="I6" s="3" t="s">
        <v>615</v>
      </c>
      <c r="J6" s="3"/>
      <c r="K6" s="2"/>
    </row>
  </sheetData>
  <autoFilter ref="A1:K6" xr:uid="{00000000-0009-0000-0000-000006000000}"/>
  <dataValidations count="1">
    <dataValidation type="list" allowBlank="1" promptTitle="Hasil Pengujian" prompt="Pilih Ya bila fungsi berjalan sesuai Expected Result" sqref="K2:K6" xr:uid="{00000000-0002-0000-0600-000000000000}">
      <formula1>"Ya,Tidak"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18"/>
  <sheetViews>
    <sheetView zoomScaleNormal="100" workbookViewId="0"/>
  </sheetViews>
  <sheetFormatPr baseColWidth="10" defaultColWidth="8.6640625" defaultRowHeight="15" x14ac:dyDescent="0.2"/>
  <cols>
    <col min="1" max="1" width="3" customWidth="1"/>
    <col min="2" max="2" width="26" customWidth="1"/>
    <col min="3" max="7" width="16" customWidth="1"/>
  </cols>
  <sheetData>
    <row r="2" spans="2:7" ht="18" x14ac:dyDescent="0.2">
      <c r="B2" s="10" t="s">
        <v>616</v>
      </c>
    </row>
    <row r="4" spans="2:7" ht="30" customHeight="1" x14ac:dyDescent="0.2">
      <c r="B4" s="1" t="s">
        <v>617</v>
      </c>
      <c r="C4" s="1" t="s">
        <v>618</v>
      </c>
      <c r="D4" s="1" t="s">
        <v>619</v>
      </c>
      <c r="E4" s="1" t="s">
        <v>620</v>
      </c>
      <c r="F4" s="1" t="s">
        <v>621</v>
      </c>
      <c r="G4" s="1" t="s">
        <v>622</v>
      </c>
    </row>
    <row r="5" spans="2:7" x14ac:dyDescent="0.2">
      <c r="B5" s="11" t="s">
        <v>623</v>
      </c>
      <c r="C5" s="12">
        <f>COUNTA(Autentikasi!A2:A9)</f>
        <v>8</v>
      </c>
      <c r="D5" s="12">
        <f>COUNTIF(Autentikasi!K2:K9,"Ya")</f>
        <v>0</v>
      </c>
      <c r="E5" s="12">
        <f>COUNTIF(Autentikasi!K2:K9,"Tidak")</f>
        <v>0</v>
      </c>
      <c r="F5" s="12">
        <f t="shared" ref="F5:F10" si="0">C5-D5-E5</f>
        <v>8</v>
      </c>
      <c r="G5" s="13">
        <f t="shared" ref="G5:G11" si="1">IFERROR(D5/C5,0)</f>
        <v>0</v>
      </c>
    </row>
    <row r="6" spans="2:7" x14ac:dyDescent="0.2">
      <c r="B6" s="11" t="s">
        <v>9</v>
      </c>
      <c r="C6" s="12">
        <f>COUNTA(Mahasiswa!A2:A45)</f>
        <v>44</v>
      </c>
      <c r="D6" s="12">
        <f>COUNTIF(Mahasiswa!K2:K45,"Ya")</f>
        <v>0</v>
      </c>
      <c r="E6" s="12">
        <f>COUNTIF(Mahasiswa!K2:K45,"Tidak")</f>
        <v>0</v>
      </c>
      <c r="F6" s="12">
        <f t="shared" si="0"/>
        <v>44</v>
      </c>
      <c r="G6" s="13">
        <f t="shared" si="1"/>
        <v>0</v>
      </c>
    </row>
    <row r="7" spans="2:7" x14ac:dyDescent="0.2">
      <c r="B7" s="11" t="s">
        <v>10</v>
      </c>
      <c r="C7" s="12">
        <f>COUNTA(Kaprodi!A2:A13)</f>
        <v>12</v>
      </c>
      <c r="D7" s="12">
        <f>COUNTIF(Kaprodi!K2:K13,"Ya")</f>
        <v>0</v>
      </c>
      <c r="E7" s="12">
        <f>COUNTIF(Kaprodi!K2:K13,"Tidak")</f>
        <v>0</v>
      </c>
      <c r="F7" s="12">
        <f t="shared" si="0"/>
        <v>12</v>
      </c>
      <c r="G7" s="13">
        <f t="shared" si="1"/>
        <v>0</v>
      </c>
    </row>
    <row r="8" spans="2:7" x14ac:dyDescent="0.2">
      <c r="B8" s="11" t="s">
        <v>11</v>
      </c>
      <c r="C8" s="12">
        <f>COUNTA(PPAIP!A2:A15)</f>
        <v>14</v>
      </c>
      <c r="D8" s="12">
        <f>COUNTIF(PPAIP!K2:K15,"Ya")</f>
        <v>0</v>
      </c>
      <c r="E8" s="12">
        <f>COUNTIF(PPAIP!K2:K15,"Tidak")</f>
        <v>0</v>
      </c>
      <c r="F8" s="12">
        <f t="shared" si="0"/>
        <v>14</v>
      </c>
      <c r="G8" s="13">
        <f t="shared" si="1"/>
        <v>0</v>
      </c>
    </row>
    <row r="9" spans="2:7" x14ac:dyDescent="0.2">
      <c r="B9" s="11" t="s">
        <v>624</v>
      </c>
      <c r="C9" s="12">
        <f>COUNTA(DPM!A2:A10)</f>
        <v>9</v>
      </c>
      <c r="D9" s="12">
        <f>COUNTIF(DPM!K2:K10,"Ya")</f>
        <v>0</v>
      </c>
      <c r="E9" s="12">
        <f>COUNTIF(DPM!K2:K10,"Tidak")</f>
        <v>0</v>
      </c>
      <c r="F9" s="12">
        <f t="shared" si="0"/>
        <v>9</v>
      </c>
      <c r="G9" s="13">
        <f t="shared" si="1"/>
        <v>0</v>
      </c>
    </row>
    <row r="10" spans="2:7" x14ac:dyDescent="0.2">
      <c r="B10" s="11" t="s">
        <v>12</v>
      </c>
      <c r="C10" s="12">
        <f>COUNTA('Dosen Penguji'!A2:A6)</f>
        <v>5</v>
      </c>
      <c r="D10" s="12">
        <f>COUNTIF('Dosen Penguji'!K2:K6,"Ya")</f>
        <v>0</v>
      </c>
      <c r="E10" s="12">
        <f>COUNTIF('Dosen Penguji'!K2:K6,"Tidak")</f>
        <v>0</v>
      </c>
      <c r="F10" s="12">
        <f t="shared" si="0"/>
        <v>5</v>
      </c>
      <c r="G10" s="13">
        <f t="shared" si="1"/>
        <v>0</v>
      </c>
    </row>
    <row r="11" spans="2:7" x14ac:dyDescent="0.2">
      <c r="B11" s="14" t="s">
        <v>625</v>
      </c>
      <c r="C11" s="15">
        <f>SUM(C5:C10)</f>
        <v>92</v>
      </c>
      <c r="D11" s="15">
        <f>SUM(D5:D10)</f>
        <v>0</v>
      </c>
      <c r="E11" s="15">
        <f>SUM(E5:E10)</f>
        <v>0</v>
      </c>
      <c r="F11" s="15">
        <f>SUM(F5:F10)</f>
        <v>92</v>
      </c>
      <c r="G11" s="16">
        <f t="shared" si="1"/>
        <v>0</v>
      </c>
    </row>
    <row r="14" spans="2:7" x14ac:dyDescent="0.2">
      <c r="B14" s="17" t="s">
        <v>626</v>
      </c>
    </row>
    <row r="15" spans="2:7" ht="30" customHeight="1" x14ac:dyDescent="0.2">
      <c r="B15" s="18" t="s">
        <v>627</v>
      </c>
      <c r="C15" s="19"/>
      <c r="D15" s="19"/>
      <c r="E15" s="19"/>
      <c r="F15" s="19"/>
      <c r="G15" s="19"/>
    </row>
    <row r="16" spans="2:7" ht="30" customHeight="1" x14ac:dyDescent="0.2">
      <c r="B16" s="18" t="s">
        <v>628</v>
      </c>
      <c r="C16" s="19"/>
      <c r="D16" s="19"/>
      <c r="E16" s="19"/>
      <c r="F16" s="19"/>
      <c r="G16" s="19"/>
    </row>
    <row r="17" spans="2:7" ht="30" customHeight="1" x14ac:dyDescent="0.2">
      <c r="B17" s="18" t="s">
        <v>629</v>
      </c>
      <c r="C17" s="19"/>
      <c r="D17" s="19"/>
      <c r="E17" s="19"/>
      <c r="F17" s="19"/>
      <c r="G17" s="19"/>
    </row>
    <row r="18" spans="2:7" ht="30" customHeight="1" x14ac:dyDescent="0.2">
      <c r="B18" s="18" t="s">
        <v>630</v>
      </c>
      <c r="C18" s="19"/>
      <c r="D18" s="19"/>
      <c r="E18" s="19"/>
      <c r="F18" s="19"/>
      <c r="G18" s="19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Autentikasi</vt:lpstr>
      <vt:lpstr>Mahasiswa</vt:lpstr>
      <vt:lpstr>Kaprodi</vt:lpstr>
      <vt:lpstr>PPAIP</vt:lpstr>
      <vt:lpstr>DPM</vt:lpstr>
      <vt:lpstr>Dosen Penguji</vt:lpstr>
      <vt:lpstr>Rekap Hasil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Akbarnama Tangguh</cp:lastModifiedBy>
  <cp:revision>0</cp:revision>
  <dcterms:created xsi:type="dcterms:W3CDTF">2026-07-29T01:46:01Z</dcterms:created>
  <dcterms:modified xsi:type="dcterms:W3CDTF">2026-07-29T02:18:17Z</dcterms:modified>
  <dc:language>en-ID</dc:language>
</cp:coreProperties>
</file>